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Prayag Raviprakash\Desktop\Claude Projects\ghg-platform\docs\"/>
    </mc:Choice>
  </mc:AlternateContent>
  <xr:revisionPtr revIDLastSave="0" documentId="13_ncr:1_{E7559900-63BE-45A7-B1B0-C2EC22952049}" xr6:coauthVersionLast="47" xr6:coauthVersionMax="47" xr10:uidLastSave="{00000000-0000-0000-0000-000000000000}"/>
  <bookViews>
    <workbookView xWindow="-108" yWindow="-108" windowWidth="23256" windowHeight="12456" xr2:uid="{00000000-000D-0000-FFFF-FFFF00000000}"/>
  </bookViews>
  <sheets>
    <sheet name="Read me" sheetId="1" r:id="rId1"/>
    <sheet name="Assumptions" sheetId="2" r:id="rId2"/>
    <sheet name="Rule tables" sheetId="3" r:id="rId3"/>
    <sheet name="EU ETS" sheetId="4" r:id="rId4"/>
    <sheet name="FuelEU" sheetId="5" r:id="rId5"/>
    <sheet name="CII" sheetId="6" r:id="rId6"/>
    <sheet name="CII G5" sheetId="7" r:id="rId7"/>
    <sheet name="EEXI" sheetId="8" r:id="rId8"/>
    <sheet name="Own data bill" sheetId="9" r:id="rId9"/>
    <sheet name="Charter split" sheetId="10" r:id="rId10"/>
    <sheet name="What-if" sheetId="11" r:id="rId11"/>
    <sheet name="IMO NZF" sheetId="12" r:id="rId12"/>
    <sheet name="Ship check" sheetId="13" r:id="rId13"/>
    <sheet name="Cross-check" sheetId="14" r:id="rId14"/>
  </sheets>
  <calcPr calcId="191029"/>
</workbook>
</file>

<file path=xl/calcChain.xml><?xml version="1.0" encoding="utf-8"?>
<calcChain xmlns="http://schemas.openxmlformats.org/spreadsheetml/2006/main">
  <c r="B14" i="13" l="1"/>
  <c r="B16" i="13" s="1"/>
  <c r="B13" i="13"/>
  <c r="B11" i="12"/>
  <c r="B13" i="12" s="1"/>
  <c r="B14" i="12" s="1"/>
  <c r="B37" i="14" s="1"/>
  <c r="D37" i="14" s="1"/>
  <c r="F37" i="14" s="1"/>
  <c r="B10" i="12"/>
  <c r="B9" i="12"/>
  <c r="B12" i="12" s="1"/>
  <c r="B8" i="12"/>
  <c r="B20" i="11"/>
  <c r="B19" i="11"/>
  <c r="B11" i="11"/>
  <c r="B10" i="11"/>
  <c r="B12" i="11" s="1"/>
  <c r="B36" i="14" s="1"/>
  <c r="D36" i="14" s="1"/>
  <c r="F36" i="14" s="1"/>
  <c r="B12" i="10"/>
  <c r="B11" i="10"/>
  <c r="B13" i="10" s="1"/>
  <c r="B14" i="10" s="1"/>
  <c r="B9" i="10"/>
  <c r="B8" i="10"/>
  <c r="B19" i="9"/>
  <c r="B20" i="9" s="1"/>
  <c r="B21" i="9" s="1"/>
  <c r="B16" i="9"/>
  <c r="B23" i="9" s="1"/>
  <c r="B24" i="9" s="1"/>
  <c r="B15" i="9"/>
  <c r="B14" i="9"/>
  <c r="B8" i="8"/>
  <c r="B9" i="8" s="1"/>
  <c r="B17" i="7"/>
  <c r="B26" i="14" s="1"/>
  <c r="D26" i="14" s="1"/>
  <c r="F26" i="14" s="1"/>
  <c r="B16" i="7"/>
  <c r="B13" i="7"/>
  <c r="B12" i="7"/>
  <c r="B30" i="6"/>
  <c r="B31" i="6" s="1"/>
  <c r="B29" i="6"/>
  <c r="B25" i="6"/>
  <c r="B28" i="6" s="1"/>
  <c r="B13" i="6"/>
  <c r="B12" i="6"/>
  <c r="B8" i="6"/>
  <c r="B11" i="6" s="1"/>
  <c r="B32" i="5"/>
  <c r="B27" i="5"/>
  <c r="B28" i="5" s="1"/>
  <c r="B26" i="5"/>
  <c r="B31" i="5" s="1"/>
  <c r="B24" i="5"/>
  <c r="B25" i="5" s="1"/>
  <c r="B17" i="14" s="1"/>
  <c r="D17" i="14" s="1"/>
  <c r="F17" i="14" s="1"/>
  <c r="B16" i="5"/>
  <c r="B11" i="5"/>
  <c r="B12" i="5" s="1"/>
  <c r="B13" i="5" s="1"/>
  <c r="B10" i="5"/>
  <c r="B15" i="5" s="1"/>
  <c r="B16" i="14" s="1"/>
  <c r="D16" i="14" s="1"/>
  <c r="F16" i="14" s="1"/>
  <c r="B9" i="5"/>
  <c r="B12" i="14" s="1"/>
  <c r="D12" i="14" s="1"/>
  <c r="F12" i="14" s="1"/>
  <c r="B32" i="4"/>
  <c r="B30" i="4"/>
  <c r="B29" i="4"/>
  <c r="B28" i="4"/>
  <c r="B19" i="4"/>
  <c r="B15" i="4"/>
  <c r="B14" i="4"/>
  <c r="B13" i="4"/>
  <c r="B16" i="4" s="1"/>
  <c r="B14" i="7" l="1"/>
  <c r="B15" i="7" s="1"/>
  <c r="B25" i="14" s="1"/>
  <c r="D25" i="14" s="1"/>
  <c r="F25" i="14" s="1"/>
  <c r="B31" i="4"/>
  <c r="B14" i="6"/>
  <c r="B15" i="10"/>
  <c r="B35" i="14"/>
  <c r="D35" i="14" s="1"/>
  <c r="F35" i="14" s="1"/>
  <c r="B33" i="6"/>
  <c r="B35" i="6"/>
  <c r="B34" i="6"/>
  <c r="B24" i="14"/>
  <c r="D24" i="14" s="1"/>
  <c r="F24" i="14" s="1"/>
  <c r="B36" i="6"/>
  <c r="B17" i="5"/>
  <c r="B14" i="5"/>
  <c r="B12" i="8"/>
  <c r="B42" i="14" s="1"/>
  <c r="F42" i="14" s="1"/>
  <c r="B11" i="8"/>
  <c r="B27" i="14"/>
  <c r="D27" i="14" s="1"/>
  <c r="F27" i="14" s="1"/>
  <c r="B17" i="4"/>
  <c r="B18" i="4" s="1"/>
  <c r="B7" i="14"/>
  <c r="D7" i="14" s="1"/>
  <c r="F7" i="14" s="1"/>
  <c r="B10" i="14"/>
  <c r="D10" i="14" s="1"/>
  <c r="F10" i="14" s="1"/>
  <c r="B33" i="4"/>
  <c r="B34" i="4" s="1"/>
  <c r="B11" i="14" s="1"/>
  <c r="D11" i="14" s="1"/>
  <c r="F11" i="14" s="1"/>
  <c r="B26" i="9"/>
  <c r="B33" i="14" s="1"/>
  <c r="D33" i="14" s="1"/>
  <c r="F33" i="14" s="1"/>
  <c r="B25" i="9"/>
  <c r="B32" i="14" s="1"/>
  <c r="D32" i="14" s="1"/>
  <c r="F32" i="14" s="1"/>
  <c r="B31" i="14"/>
  <c r="D31" i="14" s="1"/>
  <c r="F31" i="14" s="1"/>
  <c r="B29" i="5"/>
  <c r="B48" i="6"/>
  <c r="B15" i="6"/>
  <c r="B20" i="6" s="1"/>
  <c r="B40" i="14" s="1"/>
  <c r="F40" i="14" s="1"/>
  <c r="B47" i="6"/>
  <c r="B46" i="6"/>
  <c r="B21" i="14"/>
  <c r="D21" i="14" s="1"/>
  <c r="F21" i="14" s="1"/>
  <c r="B45" i="6"/>
  <c r="B44" i="6"/>
  <c r="B42" i="6"/>
  <c r="B43" i="6"/>
  <c r="B41" i="6"/>
  <c r="B19" i="6"/>
  <c r="B17" i="6"/>
  <c r="B16" i="6"/>
  <c r="B22" i="14"/>
  <c r="D22" i="14" s="1"/>
  <c r="F22" i="14" s="1"/>
  <c r="B18" i="6"/>
  <c r="B30" i="14"/>
  <c r="D30" i="14" s="1"/>
  <c r="F30" i="14" s="1"/>
  <c r="B22" i="9"/>
  <c r="B32" i="6"/>
  <c r="B37" i="6" s="1"/>
  <c r="B41" i="14" s="1"/>
  <c r="F41" i="14" s="1"/>
  <c r="B23" i="14"/>
  <c r="D23" i="14" s="1"/>
  <c r="F23" i="14" s="1"/>
  <c r="B17" i="13"/>
  <c r="B39" i="14" s="1"/>
  <c r="D39" i="14" s="1"/>
  <c r="F39" i="14" s="1"/>
  <c r="B18" i="13"/>
  <c r="B17" i="9"/>
  <c r="B34" i="14"/>
  <c r="D34" i="14" s="1"/>
  <c r="F34" i="14" s="1"/>
  <c r="B15" i="13"/>
  <c r="B22" i="4" l="1"/>
  <c r="B20" i="4"/>
  <c r="B38" i="14"/>
  <c r="D38" i="14" s="1"/>
  <c r="F38" i="14" s="1"/>
  <c r="B19" i="13"/>
  <c r="B33" i="5"/>
  <c r="B30" i="5"/>
  <c r="B13" i="14"/>
  <c r="D13" i="14" s="1"/>
  <c r="F13" i="14" s="1"/>
  <c r="B18" i="5"/>
  <c r="B15" i="14" s="1"/>
  <c r="D15" i="14" s="1"/>
  <c r="F15" i="14" s="1"/>
  <c r="B14" i="14"/>
  <c r="D14" i="14" s="1"/>
  <c r="F14" i="14" s="1"/>
  <c r="B28" i="14"/>
  <c r="D28" i="14" s="1"/>
  <c r="F28" i="14" s="1"/>
  <c r="B18" i="9"/>
  <c r="B18" i="14" l="1"/>
  <c r="D18" i="14" s="1"/>
  <c r="F18" i="14" s="1"/>
  <c r="B34" i="5"/>
  <c r="B20" i="14" s="1"/>
  <c r="D20" i="14" s="1"/>
  <c r="F20" i="14" s="1"/>
  <c r="B27" i="9"/>
  <c r="B29" i="14"/>
  <c r="D29" i="14" s="1"/>
  <c r="F29" i="14" s="1"/>
  <c r="B28" i="9"/>
  <c r="B19" i="5"/>
  <c r="B35" i="5"/>
  <c r="B19" i="14"/>
  <c r="D19" i="14" s="1"/>
  <c r="F19" i="14" s="1"/>
  <c r="B21" i="4"/>
  <c r="B9" i="14" s="1"/>
  <c r="D9" i="14" s="1"/>
  <c r="F9" i="14" s="1"/>
  <c r="B8" i="14"/>
  <c r="D8" i="14" s="1"/>
  <c r="F8" i="14" s="1"/>
  <c r="B44" i="14" s="1"/>
</calcChain>
</file>

<file path=xl/sharedStrings.xml><?xml version="1.0" encoding="utf-8"?>
<sst xmlns="http://schemas.openxmlformats.org/spreadsheetml/2006/main" count="871" uniqueCount="469">
  <si>
    <t>CarbonKeel — calculation check</t>
  </si>
  <si>
    <t>What this is</t>
  </si>
  <si>
    <t>Every figure CarbonKeel shows, worked out again here with ordinary Excel formulas, one step per row, so you can follow the process and check the output yourself. Change any yellow input and every result updates.</t>
  </si>
  <si>
    <t>How to check</t>
  </si>
  <si>
    <t>1. Read a regulation tab top to bottom: inputs, each step, the result.
2. Open the Cross-check tab: it compares each workbook result with the figure CarbonKeel's engine produced, and shows PASS or FAIL.
3. To check another ship, copy its figures from the Verifier view on carbonkeel.com into the Ship check tab.</t>
  </si>
  <si>
    <t>Colour code</t>
  </si>
  <si>
    <t>Blue text on yellow = an input you may change.  Black = a formula.  Green = a value brought in from another tab.  Green fill = the main result of a section.</t>
  </si>
  <si>
    <t>The process</t>
  </si>
  <si>
    <t>1. Data: the ship's verified emissions from the EMSA THETIS-MRV public register (or your own fuel figures).
2. Scope: split the emissions by where they happened (between EU ports, into or out of the EU, at berth, UK domestic).
3. Rules: apply each regulation's own share, gases and factors.
4. Price: multiply by the allowance or penalty price.
5. Bill: add EU ETS, UK ETS and FuelEU; show the IMO Net-Zero Framework as a scenario.</t>
  </si>
  <si>
    <t>Tabs</t>
  </si>
  <si>
    <t>Assumptions — the prices you can change.
Rule tables — every regulatory number used, with its source.
EU ETS — the allowance bill (worked example: PETER OLDENDORFF from the register, and a simple ship).
FuelEU — fuel intensity, compliance balance, penalty and pooling cost.
CII — the A to E rating and how it tightens to 2030.
CII G5 — the corrections IMO allows (example: refrigerated containers).
EEXI — the design check.
Own data bill — your own fuel split by voyage type, with UK ETS.
Charter split — who pays what under a time charter.
What-if — how speed and biofuel change fuel use.
IMO NZF — the Net-Zero Framework scenario (not adopted).
Ship check — enter any ship's register figures.
Cross-check — workbook against engine, PASS or FAIL.</t>
  </si>
  <si>
    <t>Limits</t>
  </si>
  <si>
    <t>Public-register figures are estimates: the register does not publish the fuel mix (heavy fuel oil is assumed, LNG for LNG carriers) or the deadweight. Allowance and pool prices are assumptions. Not legal or investment advice.</t>
  </si>
  <si>
    <t>Prepared</t>
  </si>
  <si>
    <t>17 October 2026, from CarbonKeel calculation engines v0.3 and the EMSA THETIS-MRV 2025 report, version 6.</t>
  </si>
  <si>
    <t>Assumptions you can change</t>
  </si>
  <si>
    <t>Market prices are inputs, not regulatory facts. CarbonKeel uses these defaults; change them here and every tab updates.</t>
  </si>
  <si>
    <t>Prices</t>
  </si>
  <si>
    <t>Step</t>
  </si>
  <si>
    <t>Value</t>
  </si>
  <si>
    <t>Unit</t>
  </si>
  <si>
    <t>How it is worked out</t>
  </si>
  <si>
    <t>Source</t>
  </si>
  <si>
    <t>EU allowance (EUA) price</t>
  </si>
  <si>
    <t>€ per tonne</t>
  </si>
  <si>
    <t>Used for every EU ETS cost.</t>
  </si>
  <si>
    <t>Assumption near the September 2026 market average (€85.6/t, Carbon Pulse via IndexBox).</t>
  </si>
  <si>
    <t>UK allowance (UKA) price</t>
  </si>
  <si>
    <t>£ per tonne</t>
  </si>
  <si>
    <t>Used for every UK ETS cost.</t>
  </si>
  <si>
    <t>Indicative; no current published level found.</t>
  </si>
  <si>
    <t>Euros per pound</t>
  </si>
  <si>
    <t>€ per £</t>
  </si>
  <si>
    <t>Converts the UK ETS cost to euros for the total.</t>
  </si>
  <si>
    <t>Assumption.</t>
  </si>
  <si>
    <t>FuelEU pool price</t>
  </si>
  <si>
    <t>€ per tCO2e</t>
  </si>
  <si>
    <t>Cost of buying a deficit from a pool instead of paying the penalty.</t>
  </si>
  <si>
    <t>Mid-2026 market: OceanScore index €118.90 (Aug 2026), BetterSea trades €106.52 (Jul 2026). Negotiated; no official price.</t>
  </si>
  <si>
    <t>Consecutive years with a FuelEU penalty, including this one</t>
  </si>
  <si>
    <t>years</t>
  </si>
  <si>
    <t>n in the Article 23(2) multiplier.</t>
  </si>
  <si>
    <t>Your own record; the public data cannot show it.</t>
  </si>
  <si>
    <t>Regulatory numbers</t>
  </si>
  <si>
    <t>Every factor the calculations use, with where it comes from. These are fixed by law; change them only if the regulation changes.</t>
  </si>
  <si>
    <t>Carbon factors (tonnes CO2 per tonne of fuel)</t>
  </si>
  <si>
    <t>Heavy fuel oil (HFO)</t>
  </si>
  <si>
    <t>t CO2 / t</t>
  </si>
  <si>
    <t>IMO 2018 DCS guidelines / MEPC.352(78) G1; Regulation (EU) 2015/757 Annex I.</t>
  </si>
  <si>
    <t>Light fuel oil (VLSFO/LFO)</t>
  </si>
  <si>
    <t>Marine gas oil (MDO/MGO)</t>
  </si>
  <si>
    <t>LNG</t>
  </si>
  <si>
    <t>Methanol</t>
  </si>
  <si>
    <t>Methane and nitrous oxide (EU and UK ETS)</t>
  </si>
  <si>
    <t>Methane emission factor, liquid fuels</t>
  </si>
  <si>
    <t>t CH4 / t fuel</t>
  </si>
  <si>
    <t>Regulation (EU) 2015/757 Annex I Part A.</t>
  </si>
  <si>
    <t>Nitrous oxide emission factor, liquid fuels</t>
  </si>
  <si>
    <t>t N2O / t fuel</t>
  </si>
  <si>
    <t>Global warming potential, methane</t>
  </si>
  <si>
    <t>Delegated Regulation (EU) 2020/1044 (IPCC AR5); UK Order Table C1.</t>
  </si>
  <si>
    <t>Global warming potential, nitrous oxide</t>
  </si>
  <si>
    <t>Same.</t>
  </si>
  <si>
    <t>First year methane and N2O count in the EU ETS</t>
  </si>
  <si>
    <t>Directive 2003/87/EC Annex I.</t>
  </si>
  <si>
    <t>EU ETS share of emissions surrendered (phase-in)</t>
  </si>
  <si>
    <t>share</t>
  </si>
  <si>
    <t>Emissions year 2023</t>
  </si>
  <si>
    <t>Directive 2003/87/EC Art. 3gb (no obligation before 2024).</t>
  </si>
  <si>
    <t>Emissions year 2024</t>
  </si>
  <si>
    <t>Emissions year 2025</t>
  </si>
  <si>
    <t>Emissions year 2026</t>
  </si>
  <si>
    <t>Emissions year 2027</t>
  </si>
  <si>
    <t>Emissions year 2028</t>
  </si>
  <si>
    <t>Emissions year 2029</t>
  </si>
  <si>
    <t>Emissions year 2030</t>
  </si>
  <si>
    <t>EU ETS scope shares</t>
  </si>
  <si>
    <t>Voyages between EU/EEA ports</t>
  </si>
  <si>
    <t>Directive 2003/87/EC Art. 3ga.</t>
  </si>
  <si>
    <t>Voyages into or out of the EU/EEA</t>
  </si>
  <si>
    <t>At berth in EU/EEA ports</t>
  </si>
  <si>
    <t>UK ETS: Great Britain to Northern Ireland</t>
  </si>
  <si>
    <t>SI 2026/392 Sch. 2A para 15.</t>
  </si>
  <si>
    <t>FuelEU Maritime</t>
  </si>
  <si>
    <t>Reference intensity (2020 baseline)</t>
  </si>
  <si>
    <t>gCO2e/MJ</t>
  </si>
  <si>
    <t>Regulation (EU) 2023/1805 Art. 4(2).</t>
  </si>
  <si>
    <t>reduction</t>
  </si>
  <si>
    <t>Reduction below the baseline for 2025 (2% for 2025-2029, 6% from 2030, 14.5% from 2035).</t>
  </si>
  <si>
    <t>Reduction below the baseline for 2026 (2% for 2025-2029, 6% from 2030, 14.5% from 2035).</t>
  </si>
  <si>
    <t>Reduction below the baseline for 2027 (2% for 2025-2029, 6% from 2030, 14.5% from 2035).</t>
  </si>
  <si>
    <t>Reduction below the baseline for 2028 (2% for 2025-2029, 6% from 2030, 14.5% from 2035).</t>
  </si>
  <si>
    <t>Reduction below the baseline for 2029 (2% for 2025-2029, 6% from 2030, 14.5% from 2035).</t>
  </si>
  <si>
    <t>Reduction below the baseline for 2030 (2% for 2025-2029, 6% from 2030, 14.5% from 2035).</t>
  </si>
  <si>
    <t>Reduction below the baseline for 2035 (2% for 2025-2029, 6% from 2030, 14.5% from 2035).</t>
  </si>
  <si>
    <t>Lower calorific value, HFO</t>
  </si>
  <si>
    <t>MJ per tonne</t>
  </si>
  <si>
    <t>Regulation (EU) 2023/1805 Annex II.</t>
  </si>
  <si>
    <t>Well-to-wake intensity, HFO</t>
  </si>
  <si>
    <t>Annex II defaults (AR4 GWPs, as FuelEU requires).</t>
  </si>
  <si>
    <t>Penalty rate</t>
  </si>
  <si>
    <t>€ per t VLSFO-equivalent</t>
  </si>
  <si>
    <t>Regulation (EU) 2023/1805 Annex IV Part B.</t>
  </si>
  <si>
    <t>Energy of one tonne VLSFO-equivalent</t>
  </si>
  <si>
    <t>MJ</t>
  </si>
  <si>
    <t>IMO CII (bulk carrier and container lines used in the examples)</t>
  </si>
  <si>
    <t>Reference line a, bulk carrier</t>
  </si>
  <si>
    <t>Reference = a × capacity^(−c)</t>
  </si>
  <si>
    <t>MEPC.353(78) Table 1.</t>
  </si>
  <si>
    <t>Reference line c, bulk carrier</t>
  </si>
  <si>
    <t>Reference line a, container ship</t>
  </si>
  <si>
    <t>Reference line c, container ship</t>
  </si>
  <si>
    <t>Bulk carrier boundary d1 (A/B)</t>
  </si>
  <si>
    <t>× required</t>
  </si>
  <si>
    <t>MEPC.354(78) Table 1.</t>
  </si>
  <si>
    <t>Bulk carrier boundary d2 (B/C)</t>
  </si>
  <si>
    <t>Bulk carrier boundary d3 (C/D)</t>
  </si>
  <si>
    <t>Bulk carrier boundary d4 (D/E)</t>
  </si>
  <si>
    <t>Container boundary d1</t>
  </si>
  <si>
    <t>Container boundary d2</t>
  </si>
  <si>
    <t>Container boundary d3</t>
  </si>
  <si>
    <t>Container boundary d4</t>
  </si>
  <si>
    <t>Z</t>
  </si>
  <si>
    <t>CII reduction factor Z for 2023</t>
  </si>
  <si>
    <t>MEPC.338(76) as amended by MEPC.400(83).</t>
  </si>
  <si>
    <t>CII reduction factor Z for 2024</t>
  </si>
  <si>
    <t>CII reduction factor Z for 2025</t>
  </si>
  <si>
    <t>CII reduction factor Z for 2026</t>
  </si>
  <si>
    <t>CII reduction factor Z for 2027</t>
  </si>
  <si>
    <t>CII reduction factor Z for 2028</t>
  </si>
  <si>
    <t>CII reduction factor Z for 2029</t>
  </si>
  <si>
    <t>CII reduction factor Z for 2030</t>
  </si>
  <si>
    <t>EEXI (bulk carrier)</t>
  </si>
  <si>
    <t>EEDI reference line a, bulk carrier</t>
  </si>
  <si>
    <t>Reference = a × DWT^(−c)</t>
  </si>
  <si>
    <t>MARPOL Annex VI reg. 24; MEPC.364(79).</t>
  </si>
  <si>
    <t>EEDI reference line c, bulk carrier</t>
  </si>
  <si>
    <t>EEXI reduction factor, bulk 20,000-200,000 DWT</t>
  </si>
  <si>
    <t>MARPOL Annex VI reg. 25 Table 3.</t>
  </si>
  <si>
    <t>CII G5 corrections</t>
  </si>
  <si>
    <t>Default reefer load, Cx</t>
  </si>
  <si>
    <t>kW per reefer</t>
  </si>
  <si>
    <t>MEPC.355(78) Appendix 1 Part A.1.2.</t>
  </si>
  <si>
    <t>Default SFOC, 2-stroke engines</t>
  </si>
  <si>
    <t>g/kWh</t>
  </si>
  <si>
    <t>IMO Net-Zero Framework (draft, not adopted)</t>
  </si>
  <si>
    <t>GFI reference (2008)</t>
  </si>
  <si>
    <t>Draft MARPOL Annex VI Ch. 5, MEPC 83.</t>
  </si>
  <si>
    <t>Base target reduction, 2028</t>
  </si>
  <si>
    <t>Direct target reduction, 2028</t>
  </si>
  <si>
    <t>Tier 1 remedial unit price</t>
  </si>
  <si>
    <t>$ per tCO2e</t>
  </si>
  <si>
    <t>Tier 2 remedial unit price</t>
  </si>
  <si>
    <t>EU ETS — the allowance bill</t>
  </si>
  <si>
    <t>Part A rebuilds a real ship's bill from the public register, exactly as carbonkeel.com does. Part B is a simple ship you can recompute on a calculator.</t>
  </si>
  <si>
    <t>Part A — PETER OLDENDORFF (IMO 9464663), 2025, from the EMSA register</t>
  </si>
  <si>
    <t>Emissions year</t>
  </si>
  <si>
    <t>Register reporting period.</t>
  </si>
  <si>
    <t>CO2 on voyages between EU/EEA ports</t>
  </si>
  <si>
    <t>t</t>
  </si>
  <si>
    <t>EMSA THETIS-MRV 2025 v6.</t>
  </si>
  <si>
    <t>CO2 on voyages leaving an EU/EEA port</t>
  </si>
  <si>
    <t>CO2 on voyages arriving at an EU/EEA port</t>
  </si>
  <si>
    <t>CO2 at berth in EU/EEA ports</t>
  </si>
  <si>
    <t>ETS-scope CO2 reported by the ship's verifier</t>
  </si>
  <si>
    <t>Same ('CO2 emissions to be reported under Directive 2003/87/EC').</t>
  </si>
  <si>
    <t>Counted: between EU ports × 100%</t>
  </si>
  <si>
    <t>Directive Art. 3ga: full share.</t>
  </si>
  <si>
    <t>Counted: leaving and arriving × 50%</t>
  </si>
  <si>
    <t>Half of voyages with one end in the EU.</t>
  </si>
  <si>
    <t>Counted: at berth × 100%</t>
  </si>
  <si>
    <t>Full share in port.</t>
  </si>
  <si>
    <t>Our rebuild of ETS-scope CO2</t>
  </si>
  <si>
    <t>Sum of the three counted parts.</t>
  </si>
  <si>
    <t>Calibration: verifier figure ÷ our rebuild</t>
  </si>
  <si>
    <t>1.000 means our rebuild matches the verifier exactly.</t>
  </si>
  <si>
    <t>ETS-scope CO2e the bill uses</t>
  </si>
  <si>
    <t>Always the verifier's own figure when the register has one. 2025 counts CO2 only.</t>
  </si>
  <si>
    <t>Share surrendered for this year</t>
  </si>
  <si>
    <t>Looked up in Rule tables: 70% for 2025.</t>
  </si>
  <si>
    <t>EU allowances due</t>
  </si>
  <si>
    <t>EUAs</t>
  </si>
  <si>
    <t>CO2e × share surrendered.</t>
  </si>
  <si>
    <t>EU ETS cost</t>
  </si>
  <si>
    <t>€</t>
  </si>
  <si>
    <t>Allowances × EUA price (Assumptions).</t>
  </si>
  <si>
    <t>Same emissions on the 2026 rules (100%)</t>
  </si>
  <si>
    <t>What the identical year would cost from 2026.</t>
  </si>
  <si>
    <t>Part B — simple ship: 3,000 t HFO, all between EU ports, 2026</t>
  </si>
  <si>
    <t>Example.</t>
  </si>
  <si>
    <t>HFO burned</t>
  </si>
  <si>
    <t>CO2</t>
  </si>
  <si>
    <t>Fuel × 3.114.</t>
  </si>
  <si>
    <t>Methane as CO2e</t>
  </si>
  <si>
    <t>t CO2e</t>
  </si>
  <si>
    <t>Fuel × 0.00005 × 28, from 2026.</t>
  </si>
  <si>
    <t>Nitrous oxide as CO2e</t>
  </si>
  <si>
    <t>Fuel × 0.00018 × 265, from 2026.</t>
  </si>
  <si>
    <t>CO2e in scope</t>
  </si>
  <si>
    <t>All of it is between EU ports, so 100%.</t>
  </si>
  <si>
    <t>Share surrendered</t>
  </si>
  <si>
    <t>Surrender by 30 September of the following year (Directive Art. 12(3)). Unsurrendered allowances: €100 per tCO2e penalty and the allowances are still owed (Art. 16(3)). Exceptions to 2030: ice class IA/IA Super 5% fewer allowances; island, outermost-region and public-service derogations (Art. 12(3-b) to (3-e)).</t>
  </si>
  <si>
    <t>FuelEU Maritime — intensity, balance, penalty and pooling</t>
  </si>
  <si>
    <t>FuelEU compares the well-to-wake greenhouse-gas intensity of the energy used with a falling limit. A shortfall is a penalty, or can be bought from a pool.</t>
  </si>
  <si>
    <t>Part A — simple ship: 3,000 t HFO, all between EU ports, 2026</t>
  </si>
  <si>
    <t>Year</t>
  </si>
  <si>
    <t>HFO burned in scope</t>
  </si>
  <si>
    <t>All between EU ports, so all in scope.</t>
  </si>
  <si>
    <t>Energy used in scope</t>
  </si>
  <si>
    <t>Fuel × lower calorific value (40,500 MJ/t).</t>
  </si>
  <si>
    <t>GHG intensity attained</t>
  </si>
  <si>
    <t>All heavy fuel oil, so its Annex II well-to-wake value.</t>
  </si>
  <si>
    <t>Reduction for the year</t>
  </si>
  <si>
    <t>Target intensity</t>
  </si>
  <si>
    <t>91.16 × (1 − 2%) = 89.3368 for 2025-2029.</t>
  </si>
  <si>
    <t>Compliance balance</t>
  </si>
  <si>
    <t>g CO2e</t>
  </si>
  <si>
    <t>(target − attained) × energy. Negative = deficit.</t>
  </si>
  <si>
    <t>Annex IV Part A.</t>
  </si>
  <si>
    <t>Statutory penalty per tonne of deficit</t>
  </si>
  <si>
    <t>10^6 ÷ (intensity × 41,000) × €2,400.</t>
  </si>
  <si>
    <t>Repeat-deficit multiplier</t>
  </si>
  <si>
    <t>×</t>
  </si>
  <si>
    <t>1 + (n − 1)/10 (Assumptions: n).</t>
  </si>
  <si>
    <t>Regulation (EU) 2023/1805 Art. 23(2).</t>
  </si>
  <si>
    <t>FuelEU penalty if paid</t>
  </si>
  <si>
    <t>|balance| ÷ (intensity × 41,000) × €2,400 × multiplier.</t>
  </si>
  <si>
    <t>Annex IV Part B.</t>
  </si>
  <si>
    <t>Cost if the deficit is bought from a pool</t>
  </si>
  <si>
    <t>Deficit tonnes × pool price (Assumptions).</t>
  </si>
  <si>
    <t>Art. 21 (pooling).</t>
  </si>
  <si>
    <t>Saving from pooling</t>
  </si>
  <si>
    <t>Part B — PETER OLDENDORFF, 2025, from the register (heavy fuel oil assumed)</t>
  </si>
  <si>
    <t>Each scope's CO2 ÷ 3.114 gives its fuel; FuelEU counts the same 100% / 50% / 100% shares as the ETS.</t>
  </si>
  <si>
    <t>Register figures on the EU ETS tab.</t>
  </si>
  <si>
    <t>A surplus can be banked (Art. 20) or pooled for payment. A deficit can be part-borrowed from next year with 10% added (Art. 20). Pools are recorded by 30 April; an unpaid penalty is due by 30 June.</t>
  </si>
  <si>
    <t>IMO CII — the A to E rating</t>
  </si>
  <si>
    <t>Attained CII = CO2 ÷ (capacity × distance). It is compared with a required value that tightens every year to 2030.</t>
  </si>
  <si>
    <t>Part A — simple ship: bulk carrier, 50,000 DWT, 3,000 t HFO, 50,000 nm, 2026</t>
  </si>
  <si>
    <t>CO2 emitted in the year</t>
  </si>
  <si>
    <t>Fuel × carbon factor (Part B: the register's total CO2).</t>
  </si>
  <si>
    <t>Capacity (deadweight)</t>
  </si>
  <si>
    <t>DWT</t>
  </si>
  <si>
    <t>Bulk carriers use DWT, capped at 279,000.</t>
  </si>
  <si>
    <t>MEPC.352(78).</t>
  </si>
  <si>
    <t>Distance sailed</t>
  </si>
  <si>
    <t>nm</t>
  </si>
  <si>
    <t>Part B: the register's CO2 ÷ its CO2 per nautical mile.</t>
  </si>
  <si>
    <t>Attained CII</t>
  </si>
  <si>
    <t>gCO2 / DWT·nm</t>
  </si>
  <si>
    <t>CO2 in grams ÷ (capacity × distance).</t>
  </si>
  <si>
    <t>G1, MEPC.352(78).</t>
  </si>
  <si>
    <t>Reference line</t>
  </si>
  <si>
    <t>a × capacity^(−c).</t>
  </si>
  <si>
    <t>G2, MEPC.353(78).</t>
  </si>
  <si>
    <t>Reduction factor Z</t>
  </si>
  <si>
    <t>G3.</t>
  </si>
  <si>
    <t>Required CII</t>
  </si>
  <si>
    <t>Reference × (1 − Z).</t>
  </si>
  <si>
    <t>Attained ÷ required</t>
  </si>
  <si>
    <t>Boundary A/B</t>
  </si>
  <si>
    <t>d1 × required.</t>
  </si>
  <si>
    <t>G4, MEPC.354(78).</t>
  </si>
  <si>
    <t>Boundary B/C</t>
  </si>
  <si>
    <t>d2 × required.</t>
  </si>
  <si>
    <t>Boundary C/D</t>
  </si>
  <si>
    <t>d3 × required.</t>
  </si>
  <si>
    <t>Boundary D/E</t>
  </si>
  <si>
    <t>d4 × required.</t>
  </si>
  <si>
    <t>Rating</t>
  </si>
  <si>
    <t>Compare the ratio with d1 to d4.</t>
  </si>
  <si>
    <t>Part B — PETER OLDENDORFF, 2025, with 93,000 DWT entered</t>
  </si>
  <si>
    <t>Part C — the simple ship's rating, 2023 to 2030, at the same performance</t>
  </si>
  <si>
    <t>2023: rating</t>
  </si>
  <si>
    <t>Required tightens with Z for 2023.</t>
  </si>
  <si>
    <t>2024: rating</t>
  </si>
  <si>
    <t>Required tightens with Z for 2024.</t>
  </si>
  <si>
    <t>2025: rating</t>
  </si>
  <si>
    <t>Required tightens with Z for 2025.</t>
  </si>
  <si>
    <t>2026: rating</t>
  </si>
  <si>
    <t>Required tightens with Z for 2026.</t>
  </si>
  <si>
    <t>2027: rating</t>
  </si>
  <si>
    <t>Required tightens with Z for 2027.</t>
  </si>
  <si>
    <t>2028: rating</t>
  </si>
  <si>
    <t>Required tightens with Z for 2028.</t>
  </si>
  <si>
    <t>2029: rating</t>
  </si>
  <si>
    <t>Required tightens with Z for 2029.</t>
  </si>
  <si>
    <t>2030: rating</t>
  </si>
  <si>
    <t>Required tightens with Z for 2030.</t>
  </si>
  <si>
    <t>A rating of D for three years in a row, or E in any year, requires a corrective action plan in SEEMP Part III (MARPOL Annex VI reg. 28).</t>
  </si>
  <si>
    <t>CII corrections — MEPC.355(78) (G5)</t>
  </si>
  <si>
    <t>IMO lets some fuel come out of the CII: voyage adjustments (safety, ice), and part of the fuel for reefers, cargo cooling, cargo heating and discharge pumps.</t>
  </si>
  <si>
    <t>Container ship, 50,000 DWT, 10,000 t HFO, 100,000 nm, 2026, reefers without kWh meters</t>
  </si>
  <si>
    <t>Capacity</t>
  </si>
  <si>
    <t>Distance</t>
  </si>
  <si>
    <t>In-use reefer-days (from BAPLIE files)</t>
  </si>
  <si>
    <t>reefer-days</t>
  </si>
  <si>
    <t>Fuel for reefers</t>
  </si>
  <si>
    <t>2.75 kW × 24 h × 175 g/kWh × reefer-days.</t>
  </si>
  <si>
    <t>G5 Appendix 1 Part A.1.2.</t>
  </si>
  <si>
    <t>Share of that fuel that may come out</t>
  </si>
  <si>
    <t>0.75 − 0.03 × years since 2023: 0.66 in 2026.</t>
  </si>
  <si>
    <t>G5 section 4.</t>
  </si>
  <si>
    <t>CO2 counted in the CII</t>
  </si>
  <si>
    <t>3.114 × (fuel − share × reefer fuel).</t>
  </si>
  <si>
    <t>Attained CII with the correction</t>
  </si>
  <si>
    <t>Attained CII without it</t>
  </si>
  <si>
    <t>Required CII (container)</t>
  </si>
  <si>
    <t>Other G5 items: voyage adjustments remove both fuel and distance (MARPOL Annex VI reg. 3.1 safety situations; ice-classed ships within the ice edge). STS voyages on tankers: fuel × (1 − 6.1742 × DWT^−0.246). Shuttle tankers with DP: all fuel × (1 − 5.6805 × DWT^−0.208). Cargo cooling (gas and LNG carriers), electric discharge pumps, cargo-heating boilers and engine-driven pumps (tankers) use the same 0.75 − 0.03y share. Only figures your Administration accepts may be used.</t>
  </si>
  <si>
    <t>EEXI — the design check</t>
  </si>
  <si>
    <t>The required EEXI is the EEDI reference line for the ship type and size, cut by a reduction factor. The attained value is what the ship filed.</t>
  </si>
  <si>
    <t>PETER OLDENDORFF: bulk carrier, 93,000 DWT</t>
  </si>
  <si>
    <t>Deadweight</t>
  </si>
  <si>
    <t>Entered by the user.</t>
  </si>
  <si>
    <t>EEDI reference line</t>
  </si>
  <si>
    <t>gCO2/t·nm</t>
  </si>
  <si>
    <t>961.79 × DWT^(−0.477).</t>
  </si>
  <si>
    <t>Required EEXI</t>
  </si>
  <si>
    <t>Reference × (1 − 20%).</t>
  </si>
  <si>
    <t>Attained EEXI, as filed</t>
  </si>
  <si>
    <t>EMSA register, 'Technical efficiency': EEXI (2.97).</t>
  </si>
  <si>
    <t>Margin</t>
  </si>
  <si>
    <t>Positive = below the required value.</t>
  </si>
  <si>
    <t>Verdict</t>
  </si>
  <si>
    <t>Your own fuel, split by voyage type</t>
  </si>
  <si>
    <t>When you enter your own fuel, you say where it was burned. Each share is charged by its own rule; the rest is out of scope.</t>
  </si>
  <si>
    <t>Bulk carrier, 4,300 t HFO, 2026</t>
  </si>
  <si>
    <t>HFO burned in the year</t>
  </si>
  <si>
    <t>Share between EU/EEA ports</t>
  </si>
  <si>
    <t>Your voyage data.</t>
  </si>
  <si>
    <t>Share into or out of the EU/EEA</t>
  </si>
  <si>
    <t>Share at berth in EU/EEA ports</t>
  </si>
  <si>
    <t>Share on UK domestic voyages and UK berths</t>
  </si>
  <si>
    <t>Share Great Britain to Northern Ireland</t>
  </si>
  <si>
    <t>Outside EU and UK scope</t>
  </si>
  <si>
    <t>Must not be negative.</t>
  </si>
  <si>
    <t>CO2e per tonne of HFO (with methane and N2O)</t>
  </si>
  <si>
    <t>t CO2e / t</t>
  </si>
  <si>
    <t>3.114 + 0.00005 × 28 + 0.00018 × 265 = 3.1631.</t>
  </si>
  <si>
    <t>EU-scope fuel</t>
  </si>
  <si>
    <t>100% / 50% / 100%.</t>
  </si>
  <si>
    <t>EU ETS CO2e</t>
  </si>
  <si>
    <t>UK-scope fuel</t>
  </si>
  <si>
    <t>100% domestic, 50% GB to NI.</t>
  </si>
  <si>
    <t>SI 2026/392 Sch. 2A.</t>
  </si>
  <si>
    <t>UK ETS CO2e</t>
  </si>
  <si>
    <t>Methane and N2O count from the start.</t>
  </si>
  <si>
    <t>UK ETS cost</t>
  </si>
  <si>
    <t>£</t>
  </si>
  <si>
    <t>UK ETS cost in euros</t>
  </si>
  <si>
    <t>FuelEU energy in scope</t>
  </si>
  <si>
    <t>Same shares as the ETS.</t>
  </si>
  <si>
    <t>FuelEU compliance balance</t>
  </si>
  <si>
    <t>FuelEU if pooled</t>
  </si>
  <si>
    <t>Total bill, FuelEU at the penalty</t>
  </si>
  <si>
    <t>Total bill, FuelEU pooled</t>
  </si>
  <si>
    <t>Owner and time-charterer split</t>
  </si>
  <si>
    <t>BIMCO's ETS (2022) and FuelEU (2024) time-charter clauses put the cost of emissions during the charter on the charterer. Without voyage data, split by days.</t>
  </si>
  <si>
    <t>Charter 1 March to 31 August 2025, EU ETS cost €100,000</t>
  </si>
  <si>
    <t>Charter from</t>
  </si>
  <si>
    <t>Charter party.</t>
  </si>
  <si>
    <t>Charter to</t>
  </si>
  <si>
    <t>Cost to split</t>
  </si>
  <si>
    <t>Days on charter in the year</t>
  </si>
  <si>
    <t>days</t>
  </si>
  <si>
    <t>Both dates count.</t>
  </si>
  <si>
    <t>Days in the year</t>
  </si>
  <si>
    <t>Charterer share</t>
  </si>
  <si>
    <t>Charterer pays</t>
  </si>
  <si>
    <t>Owner pays</t>
  </si>
  <si>
    <t>The clauses allocate the emissions actually reported for the charter period. Use those figures for the contractual statement when you have them.</t>
  </si>
  <si>
    <t>What-if — speed and biofuel</t>
  </si>
  <si>
    <t>A scenario, not a measurement. Distance stays the same; berth fuel does not change with sea speed.</t>
  </si>
  <si>
    <t>Slowing down</t>
  </si>
  <si>
    <t>Speed change</t>
  </si>
  <si>
    <t>Your scenario.</t>
  </si>
  <si>
    <t>Speed exponent n</t>
  </si>
  <si>
    <t>Main-engine power ∝ speed^n; 3 is the cube law.</t>
  </si>
  <si>
    <t>Ship's speed-power curve.</t>
  </si>
  <si>
    <t>Auxiliaries and boilers, share of sea fuel</t>
  </si>
  <si>
    <t>Your noon reports.</t>
  </si>
  <si>
    <t>Main-engine fuel per mile, ratio</t>
  </si>
  <si>
    <t>speed^(n−1) on the same distance.</t>
  </si>
  <si>
    <t>Auxiliary fuel, ratio</t>
  </si>
  <si>
    <t>Burns per day; the voyage takes longer.</t>
  </si>
  <si>
    <t>Sea fuel, ratio</t>
  </si>
  <si>
    <t>Biofuel</t>
  </si>
  <si>
    <t>Share of fossil energy replaced by B100</t>
  </si>
  <si>
    <t>HFO before</t>
  </si>
  <si>
    <t>Lower calorific value, B100</t>
  </si>
  <si>
    <t>Annex II (UCOME default).</t>
  </si>
  <si>
    <t>HFO after</t>
  </si>
  <si>
    <t>B100 needed for the same energy</t>
  </si>
  <si>
    <t>More tonnes, because B100 carries less energy per tonne.</t>
  </si>
  <si>
    <t>IMO Net-Zero Framework — scenario only</t>
  </si>
  <si>
    <t>Not adopted. The IMO postponed the decision in October 2025. Shown to size the risk from 2028.</t>
  </si>
  <si>
    <t>Simple ship: 3,000 t HFO, scenario year 2028</t>
  </si>
  <si>
    <t>HFO burned (all voyages count)</t>
  </si>
  <si>
    <t>Energy</t>
  </si>
  <si>
    <t>GHG fuel intensity</t>
  </si>
  <si>
    <t>Base target</t>
  </si>
  <si>
    <t>Direct compliance target</t>
  </si>
  <si>
    <t>Tier 2 deficit (above the base target)</t>
  </si>
  <si>
    <t>Tier 1 deficit (between the targets)</t>
  </si>
  <si>
    <t>Remedial units</t>
  </si>
  <si>
    <t>$</t>
  </si>
  <si>
    <t>Check any ship</t>
  </si>
  <si>
    <t>Copy a ship's register figures from the Verifier view on carbonkeel.com into the yellow cells. The bill is worked out with the same rules (heavy fuel oil assumed).</t>
  </si>
  <si>
    <t>Your ship (example: PETER OLDENDORFF)</t>
  </si>
  <si>
    <t>CO2 between EU/EEA ports</t>
  </si>
  <si>
    <t>Register.</t>
  </si>
  <si>
    <t>CO2 leaving an EU/EEA port</t>
  </si>
  <si>
    <t>CO2 arriving at an EU/EEA port</t>
  </si>
  <si>
    <t>Verifier-reported ETS-scope CO2 (blank if none)</t>
  </si>
  <si>
    <t>Our rebuild</t>
  </si>
  <si>
    <t>CO2 the bill uses</t>
  </si>
  <si>
    <t>The verifier's figure when there is one.</t>
  </si>
  <si>
    <t>FuelEU balance</t>
  </si>
  <si>
    <t>No FuelEU before 2025, or when the verifier reported no ETS-scope CO2.</t>
  </si>
  <si>
    <t>Total, FuelEU at the penalty</t>
  </si>
  <si>
    <t>Cross-check — workbook against the CarbonKeel engine</t>
  </si>
  <si>
    <t>Each row compares a result worked out in this workbook with the figure CarbonKeel's engine produced on 17 October 2026 with the default assumptions. If you change an assumption, the engine column no longer applies and a FAIL is expected. The engine rounds its outputs, hence the allowed difference.</t>
  </si>
  <si>
    <t>Numbers</t>
  </si>
  <si>
    <t>Check</t>
  </si>
  <si>
    <t>This workbook</t>
  </si>
  <si>
    <t>CarbonKeel engine</t>
  </si>
  <si>
    <t>Difference</t>
  </si>
  <si>
    <t>Allowed</t>
  </si>
  <si>
    <t>Result</t>
  </si>
  <si>
    <t>EU ETS: PETER OLDENDORFF rebuild</t>
  </si>
  <si>
    <t>EU ETS: PETER OLDENDORFF allowances</t>
  </si>
  <si>
    <t>EU ETS: PETER OLDENDORFF cost (€)</t>
  </si>
  <si>
    <t>EU ETS: simple ship CO2e (t)</t>
  </si>
  <si>
    <t>EU ETS: simple ship cost (€)</t>
  </si>
  <si>
    <t>FuelEU: simple ship energy (MJ)</t>
  </si>
  <si>
    <t>FuelEU: simple ship balance (t)</t>
  </si>
  <si>
    <t>FuelEU: simple ship penalty (€)</t>
  </si>
  <si>
    <t>FuelEU: simple ship pooled (€)</t>
  </si>
  <si>
    <t>FuelEU: statutory € per tCO2e</t>
  </si>
  <si>
    <t>FuelEU: PETER OLDENDORFF energy (MJ)</t>
  </si>
  <si>
    <t>FuelEU: PETER OLDENDORFF balance (t)</t>
  </si>
  <si>
    <t>FuelEU: PETER OLDENDORFF penalty (€)</t>
  </si>
  <si>
    <t>FuelEU: PETER OLDENDORFF pooled (€)</t>
  </si>
  <si>
    <t>CII: simple ship attained</t>
  </si>
  <si>
    <t>CII: simple ship required</t>
  </si>
  <si>
    <t>CII: PETER OLDENDORFF attained</t>
  </si>
  <si>
    <t>CII: PETER OLDENDORFF required</t>
  </si>
  <si>
    <t>CII G5: reefer-corrected attained</t>
  </si>
  <si>
    <t>CII G5: container required</t>
  </si>
  <si>
    <t>EEXI: required</t>
  </si>
  <si>
    <t>Own data: EU ETS CO2e (t)</t>
  </si>
  <si>
    <t>Own data: EU ETS cost (€)</t>
  </si>
  <si>
    <t>Own data: UK ETS cost (£)</t>
  </si>
  <si>
    <t>Own data: FuelEU balance (t)</t>
  </si>
  <si>
    <t>Own data: FuelEU penalty (€)</t>
  </si>
  <si>
    <t>Own data: FuelEU pooled (€)</t>
  </si>
  <si>
    <t>Charter: days on charter</t>
  </si>
  <si>
    <t>Charter: charterer pays (€)</t>
  </si>
  <si>
    <t>What-if: sea fuel ratio, −10%, cube law</t>
  </si>
  <si>
    <t>IMO NZF: remedial units ($)</t>
  </si>
  <si>
    <t>Ship check: EU ETS cost (€)</t>
  </si>
  <si>
    <t>Ship check: FuelEU penalty (€)</t>
  </si>
  <si>
    <t>CII: simple ship rating</t>
  </si>
  <si>
    <t>A</t>
  </si>
  <si>
    <t>CII: PETER OLDENDORFF rating</t>
  </si>
  <si>
    <t>E</t>
  </si>
  <si>
    <t>EEXI: verdict</t>
  </si>
  <si>
    <t>COMPLIANT</t>
  </si>
  <si>
    <t>Checks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</si>
</sst>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quot;€&quot;#,##0.00"/>
    <numFmt numFmtId="165" formatCode="0.000"/>
    <numFmt numFmtId="166" formatCode="#,##0;\-#,##0;&quot;-&quot;"/>
    <numFmt numFmtId="167" formatCode="0.000000"/>
    <numFmt numFmtId="168" formatCode="0.0%;\-0.0%;&quot;-&quot;"/>
    <numFmt numFmtId="169" formatCode="#,##0.0;\-#,##0.0;&quot;-&quot;"/>
    <numFmt numFmtId="170" formatCode="0.0000"/>
    <numFmt numFmtId="171" formatCode="&quot;€&quot;#,##0;\-&quot;€&quot;#,##0;&quot;-&quot;"/>
    <numFmt numFmtId="172" formatCode="#,##0.000;\-#,##0.000;&quot;-&quot;"/>
    <numFmt numFmtId="173" formatCode="&quot;£&quot;#,##0;\-&quot;£&quot;#,##0;&quot;-&quot;"/>
    <numFmt numFmtId="174" formatCode="dd\ mmm\ yyyy"/>
    <numFmt numFmtId="175" formatCode="&quot;$&quot;#,##0;\-&quot;$&quot;#,##0;&quot;-&quot;"/>
    <numFmt numFmtId="176" formatCode="#,##0.0000"/>
  </numFmts>
  <fonts count="18" x14ac:knownFonts="1">
    <font>
      <sz val="11"/>
      <color theme="1"/>
      <name val="Calibri"/>
      <family val="2"/>
      <scheme val="minor"/>
    </font>
    <font>
      <b/>
      <sz val="16"/>
      <color rgb="FF0B2545"/>
      <name val="Arial"/>
    </font>
    <font>
      <b/>
      <sz val="10"/>
      <color rgb="FF0B2545"/>
      <name val="Arial"/>
    </font>
    <font>
      <sz val="10"/>
      <name val="Arial"/>
    </font>
    <font>
      <b/>
      <sz val="15"/>
      <color rgb="FF0B2545"/>
      <name val="Arial"/>
    </font>
    <font>
      <sz val="10"/>
      <color rgb="FF666666"/>
      <name val="Arial"/>
    </font>
    <font>
      <b/>
      <sz val="11"/>
      <color rgb="FF0B2545"/>
      <name val="Arial"/>
    </font>
    <font>
      <b/>
      <sz val="9"/>
      <color rgb="FFFFFFFF"/>
      <name val="Arial"/>
    </font>
    <font>
      <sz val="10"/>
      <color rgb="FF0000FF"/>
      <name val="Arial"/>
    </font>
    <font>
      <sz val="9"/>
      <color rgb="FF000000"/>
      <name val="Arial"/>
    </font>
    <font>
      <sz val="9"/>
      <color rgb="FF666666"/>
      <name val="Arial"/>
    </font>
    <font>
      <sz val="10"/>
      <color rgb="FF008000"/>
      <name val="Arial"/>
    </font>
    <font>
      <sz val="10"/>
      <color rgb="FF000000"/>
      <name val="Arial"/>
    </font>
    <font>
      <b/>
      <sz val="10"/>
      <name val="Arial"/>
    </font>
    <font>
      <b/>
      <sz val="10"/>
      <color rgb="FF008000"/>
      <name val="Arial"/>
    </font>
    <font>
      <i/>
      <sz val="9"/>
      <color rgb="FF666666"/>
      <name val="Arial"/>
    </font>
    <font>
      <b/>
      <sz val="10"/>
      <color rgb="FF000000"/>
      <name val="Arial"/>
    </font>
    <font>
      <b/>
      <sz val="11"/>
      <name val="Arial"/>
    </font>
  </fonts>
  <fills count="6">
    <fill>
      <patternFill patternType="none"/>
    </fill>
    <fill>
      <patternFill patternType="gray125"/>
    </fill>
    <fill>
      <patternFill patternType="solid">
        <fgColor rgb="FFDCE9F5"/>
      </patternFill>
    </fill>
    <fill>
      <patternFill patternType="solid">
        <fgColor rgb="FF0B2545"/>
      </patternFill>
    </fill>
    <fill>
      <patternFill patternType="solid">
        <fgColor rgb="FFFFF2CC"/>
      </patternFill>
    </fill>
    <fill>
      <patternFill patternType="solid">
        <fgColor rgb="FFE2F0D9"/>
      </patternFill>
    </fill>
  </fills>
  <borders count="2">
    <border>
      <left/>
      <right/>
      <top/>
      <bottom/>
      <diagonal/>
    </border>
    <border>
      <left/>
      <right/>
      <top/>
      <bottom style="thin">
        <color rgb="FFC9D3DD"/>
      </bottom>
      <diagonal/>
    </border>
  </borders>
  <cellStyleXfs count="1">
    <xf numFmtId="0" fontId="0" fillId="0" borderId="0"/>
  </cellStyleXfs>
  <cellXfs count="56">
    <xf numFmtId="0" fontId="0" fillId="0" borderId="0" xfId="0"/>
    <xf numFmtId="0" fontId="1" fillId="0" borderId="0" xfId="0" applyFont="1"/>
    <xf numFmtId="0" fontId="2" fillId="0" borderId="0" xfId="0" applyFont="1" applyAlignment="1">
      <alignment vertical="top"/>
    </xf>
    <xf numFmtId="0" fontId="3" fillId="0" borderId="0" xfId="0" applyFont="1" applyAlignment="1">
      <alignment vertical="top" wrapText="1"/>
    </xf>
    <xf numFmtId="0" fontId="4" fillId="0" borderId="0" xfId="0" applyFont="1"/>
    <xf numFmtId="0" fontId="6" fillId="2" borderId="0" xfId="0" applyFont="1" applyFill="1"/>
    <xf numFmtId="0" fontId="0" fillId="2" borderId="0" xfId="0" applyFill="1"/>
    <xf numFmtId="0" fontId="7" fillId="3" borderId="0" xfId="0" applyFont="1" applyFill="1"/>
    <xf numFmtId="0" fontId="3" fillId="0" borderId="1" xfId="0" applyFont="1" applyBorder="1" applyAlignment="1">
      <alignment vertical="top" wrapText="1"/>
    </xf>
    <xf numFmtId="164" fontId="8" fillId="4" borderId="1" xfId="0" applyNumberFormat="1" applyFont="1" applyFill="1" applyBorder="1" applyAlignment="1">
      <alignment horizontal="right"/>
    </xf>
    <xf numFmtId="0" fontId="5" fillId="0" borderId="1" xfId="0" applyFont="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165" fontId="8" fillId="4" borderId="1" xfId="0" applyNumberFormat="1" applyFont="1" applyFill="1" applyBorder="1" applyAlignment="1">
      <alignment horizontal="right"/>
    </xf>
    <xf numFmtId="166" fontId="8" fillId="4" borderId="1" xfId="0" applyNumberFormat="1" applyFont="1" applyFill="1" applyBorder="1" applyAlignment="1">
      <alignment horizontal="right"/>
    </xf>
    <xf numFmtId="167" fontId="8" fillId="4" borderId="1" xfId="0" applyNumberFormat="1" applyFont="1" applyFill="1" applyBorder="1" applyAlignment="1">
      <alignment horizontal="right"/>
    </xf>
    <xf numFmtId="1" fontId="8" fillId="4" borderId="1" xfId="0" applyNumberFormat="1" applyFont="1" applyFill="1" applyBorder="1" applyAlignment="1">
      <alignment horizontal="right"/>
    </xf>
    <xf numFmtId="168" fontId="8" fillId="4" borderId="1" xfId="0" applyNumberFormat="1" applyFont="1" applyFill="1" applyBorder="1" applyAlignment="1">
      <alignment horizontal="right"/>
    </xf>
    <xf numFmtId="169" fontId="8" fillId="4" borderId="1" xfId="0" applyNumberFormat="1" applyFont="1" applyFill="1" applyBorder="1" applyAlignment="1">
      <alignment horizontal="right"/>
    </xf>
    <xf numFmtId="0" fontId="11" fillId="0" borderId="1" xfId="0" applyFont="1" applyBorder="1" applyAlignment="1">
      <alignment horizontal="right"/>
    </xf>
    <xf numFmtId="0" fontId="12" fillId="0" borderId="1" xfId="0" applyFont="1" applyBorder="1" applyAlignment="1">
      <alignment horizontal="right"/>
    </xf>
    <xf numFmtId="170" fontId="12" fillId="0" borderId="1" xfId="0" applyNumberFormat="1" applyFont="1" applyBorder="1" applyAlignment="1">
      <alignment horizontal="right"/>
    </xf>
    <xf numFmtId="168" fontId="12" fillId="0" borderId="1" xfId="0" applyNumberFormat="1" applyFont="1" applyBorder="1" applyAlignment="1">
      <alignment horizontal="right"/>
    </xf>
    <xf numFmtId="169" fontId="12" fillId="0" borderId="1" xfId="0" applyNumberFormat="1" applyFont="1" applyBorder="1" applyAlignment="1">
      <alignment horizontal="right"/>
    </xf>
    <xf numFmtId="0" fontId="13" fillId="0" borderId="1" xfId="0" applyFont="1" applyBorder="1" applyAlignment="1">
      <alignment vertical="top" wrapText="1"/>
    </xf>
    <xf numFmtId="171" fontId="14" fillId="5" borderId="1" xfId="0" applyNumberFormat="1" applyFont="1" applyFill="1" applyBorder="1" applyAlignment="1">
      <alignment horizontal="right"/>
    </xf>
    <xf numFmtId="171" fontId="11" fillId="0" borderId="1" xfId="0" applyNumberFormat="1" applyFont="1" applyBorder="1" applyAlignment="1">
      <alignment horizontal="right"/>
    </xf>
    <xf numFmtId="169" fontId="11" fillId="0" borderId="1" xfId="0" applyNumberFormat="1" applyFont="1" applyBorder="1" applyAlignment="1">
      <alignment horizontal="right"/>
    </xf>
    <xf numFmtId="166" fontId="11" fillId="0" borderId="1" xfId="0" applyNumberFormat="1" applyFont="1" applyBorder="1" applyAlignment="1">
      <alignment horizontal="right"/>
    </xf>
    <xf numFmtId="165" fontId="11" fillId="0" borderId="1" xfId="0" applyNumberFormat="1" applyFont="1" applyBorder="1" applyAlignment="1">
      <alignment horizontal="right"/>
    </xf>
    <xf numFmtId="166" fontId="12" fillId="0" borderId="1" xfId="0" applyNumberFormat="1" applyFont="1" applyBorder="1" applyAlignment="1">
      <alignment horizontal="right"/>
    </xf>
    <xf numFmtId="164" fontId="11" fillId="0" borderId="1" xfId="0" applyNumberFormat="1" applyFont="1" applyBorder="1" applyAlignment="1">
      <alignment horizontal="right"/>
    </xf>
    <xf numFmtId="165" fontId="12" fillId="0" borderId="1" xfId="0" applyNumberFormat="1" applyFont="1" applyBorder="1" applyAlignment="1">
      <alignment horizontal="right"/>
    </xf>
    <xf numFmtId="171" fontId="16" fillId="5" borderId="1" xfId="0" applyNumberFormat="1" applyFont="1" applyFill="1" applyBorder="1" applyAlignment="1">
      <alignment horizontal="right"/>
    </xf>
    <xf numFmtId="171" fontId="12" fillId="0" borderId="1" xfId="0" applyNumberFormat="1" applyFont="1" applyBorder="1" applyAlignment="1">
      <alignment horizontal="right"/>
    </xf>
    <xf numFmtId="165" fontId="16" fillId="5" borderId="1" xfId="0" applyNumberFormat="1" applyFont="1" applyFill="1" applyBorder="1" applyAlignment="1">
      <alignment horizontal="right"/>
    </xf>
    <xf numFmtId="0" fontId="16" fillId="5" borderId="1" xfId="0" applyFont="1" applyFill="1" applyBorder="1" applyAlignment="1">
      <alignment horizontal="right"/>
    </xf>
    <xf numFmtId="172" fontId="12" fillId="0" borderId="1" xfId="0" applyNumberFormat="1" applyFont="1" applyBorder="1" applyAlignment="1">
      <alignment horizontal="right"/>
    </xf>
    <xf numFmtId="173" fontId="14" fillId="5" borderId="1" xfId="0" applyNumberFormat="1" applyFont="1" applyFill="1" applyBorder="1" applyAlignment="1">
      <alignment horizontal="right"/>
    </xf>
    <xf numFmtId="174" fontId="8" fillId="4" borderId="1" xfId="0" applyNumberFormat="1" applyFont="1" applyFill="1" applyBorder="1" applyAlignment="1">
      <alignment horizontal="right"/>
    </xf>
    <xf numFmtId="171" fontId="8" fillId="4" borderId="1" xfId="0" applyNumberFormat="1" applyFont="1" applyFill="1" applyBorder="1" applyAlignment="1">
      <alignment horizontal="right"/>
    </xf>
    <xf numFmtId="170" fontId="16" fillId="5" borderId="1" xfId="0" applyNumberFormat="1" applyFont="1" applyFill="1" applyBorder="1" applyAlignment="1">
      <alignment horizontal="right"/>
    </xf>
    <xf numFmtId="169" fontId="16" fillId="5" borderId="1" xfId="0" applyNumberFormat="1" applyFont="1" applyFill="1" applyBorder="1" applyAlignment="1">
      <alignment horizontal="right"/>
    </xf>
    <xf numFmtId="175" fontId="14" fillId="5" borderId="1" xfId="0" applyNumberFormat="1" applyFont="1" applyFill="1" applyBorder="1" applyAlignment="1">
      <alignment horizontal="right"/>
    </xf>
    <xf numFmtId="0" fontId="3" fillId="0" borderId="1" xfId="0" applyFont="1" applyBorder="1"/>
    <xf numFmtId="176" fontId="11" fillId="0" borderId="1" xfId="0" applyNumberFormat="1" applyFont="1" applyBorder="1"/>
    <xf numFmtId="176" fontId="8" fillId="0" borderId="1" xfId="0" applyNumberFormat="1" applyFont="1" applyBorder="1"/>
    <xf numFmtId="176" fontId="3" fillId="0" borderId="1" xfId="0" applyNumberFormat="1" applyFont="1" applyBorder="1"/>
    <xf numFmtId="0" fontId="13" fillId="0" borderId="1" xfId="0" applyFont="1" applyBorder="1"/>
    <xf numFmtId="0" fontId="8" fillId="0" borderId="1" xfId="0" applyFont="1" applyBorder="1" applyAlignment="1">
      <alignment horizontal="right"/>
    </xf>
    <xf numFmtId="0" fontId="0" fillId="0" borderId="1" xfId="0" applyBorder="1"/>
    <xf numFmtId="0" fontId="17" fillId="0" borderId="0" xfId="0" applyFont="1"/>
    <xf numFmtId="0" fontId="17" fillId="0" borderId="0" xfId="0" applyFont="1" applyAlignment="1">
      <alignment horizontal="right"/>
    </xf>
    <xf numFmtId="0" fontId="5" fillId="0" borderId="0" xfId="0" applyFont="1" applyAlignment="1">
      <alignment vertical="top" wrapText="1"/>
    </xf>
    <xf numFmtId="0" fontId="0" fillId="0" borderId="0" xfId="0"/>
    <xf numFmtId="0" fontId="15" fillId="0" borderId="0" xfId="0" applyFont="1" applyAlignment="1">
      <alignment vertical="top" wrapText="1"/>
    </xf>
  </cellXfs>
  <cellStyles count="1">
    <cellStyle name="Normal" xfId="0" builtinId="0"/>
  </cellStyles>
  <dxfs count="2">
    <dxf>
      <font>
        <b/>
        <color rgb="FF9C0006"/>
        <name val="Arial"/>
      </font>
      <fill>
        <patternFill patternType="solid">
          <fgColor rgb="FFFFC7CE"/>
        </patternFill>
      </fill>
    </dxf>
    <dxf>
      <font>
        <b/>
        <color rgb="FF006100"/>
        <name val="Arial"/>
      </font>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showGridLines="0" tabSelected="1" workbookViewId="0"/>
  </sheetViews>
  <sheetFormatPr defaultRowHeight="14.4" x14ac:dyDescent="0.3"/>
  <cols>
    <col min="1" max="1" width="30" customWidth="1"/>
    <col min="2" max="2" width="110" customWidth="1"/>
  </cols>
  <sheetData>
    <row r="1" spans="1:2" ht="21" x14ac:dyDescent="0.4">
      <c r="A1" s="1" t="s">
        <v>0</v>
      </c>
    </row>
    <row r="3" spans="1:2" ht="30" customHeight="1" x14ac:dyDescent="0.3">
      <c r="A3" s="2" t="s">
        <v>1</v>
      </c>
      <c r="B3" s="3" t="s">
        <v>2</v>
      </c>
    </row>
    <row r="5" spans="1:2" ht="75" customHeight="1" x14ac:dyDescent="0.3">
      <c r="A5" s="2" t="s">
        <v>3</v>
      </c>
      <c r="B5" s="3" t="s">
        <v>4</v>
      </c>
    </row>
    <row r="7" spans="1:2" ht="30" customHeight="1" x14ac:dyDescent="0.3">
      <c r="A7" s="2" t="s">
        <v>5</v>
      </c>
      <c r="B7" s="3" t="s">
        <v>6</v>
      </c>
    </row>
    <row r="9" spans="1:2" ht="120" customHeight="1" x14ac:dyDescent="0.3">
      <c r="A9" s="2" t="s">
        <v>7</v>
      </c>
      <c r="B9" s="3" t="s">
        <v>8</v>
      </c>
    </row>
    <row r="11" spans="1:2" ht="285" customHeight="1" x14ac:dyDescent="0.3">
      <c r="A11" s="2" t="s">
        <v>9</v>
      </c>
      <c r="B11" s="3" t="s">
        <v>10</v>
      </c>
    </row>
    <row r="13" spans="1:2" ht="30" customHeight="1" x14ac:dyDescent="0.3">
      <c r="A13" s="2" t="s">
        <v>11</v>
      </c>
      <c r="B13" s="3" t="s">
        <v>12</v>
      </c>
    </row>
    <row r="15" spans="1:2" ht="15" customHeight="1" x14ac:dyDescent="0.3">
      <c r="A15" s="2" t="s">
        <v>13</v>
      </c>
      <c r="B15" s="3" t="s">
        <v>14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15</v>
      </c>
    </row>
    <row r="2" spans="1:5" ht="30" customHeight="1" x14ac:dyDescent="0.3">
      <c r="A2" s="53" t="s">
        <v>16</v>
      </c>
      <c r="B2" s="54"/>
      <c r="C2" s="54"/>
      <c r="D2" s="54"/>
      <c r="E2" s="54"/>
    </row>
    <row r="5" spans="1:5" x14ac:dyDescent="0.3">
      <c r="A5" s="5" t="s">
        <v>17</v>
      </c>
      <c r="B5" s="6"/>
      <c r="C5" s="6"/>
      <c r="D5" s="6"/>
      <c r="E5" s="6"/>
    </row>
    <row r="6" spans="1:5" x14ac:dyDescent="0.3">
      <c r="A6" s="7" t="s">
        <v>18</v>
      </c>
      <c r="B6" s="7" t="s">
        <v>19</v>
      </c>
      <c r="C6" s="7" t="s">
        <v>20</v>
      </c>
      <c r="D6" s="7" t="s">
        <v>21</v>
      </c>
      <c r="E6" s="7" t="s">
        <v>22</v>
      </c>
    </row>
    <row r="7" spans="1:5" ht="22.8" x14ac:dyDescent="0.3">
      <c r="A7" s="8" t="s">
        <v>23</v>
      </c>
      <c r="B7" s="9">
        <v>85</v>
      </c>
      <c r="C7" s="10" t="s">
        <v>24</v>
      </c>
      <c r="D7" s="11" t="s">
        <v>25</v>
      </c>
      <c r="E7" s="12" t="s">
        <v>26</v>
      </c>
    </row>
    <row r="8" spans="1:5" x14ac:dyDescent="0.3">
      <c r="A8" s="8" t="s">
        <v>27</v>
      </c>
      <c r="B8" s="9">
        <v>40</v>
      </c>
      <c r="C8" s="10" t="s">
        <v>28</v>
      </c>
      <c r="D8" s="11" t="s">
        <v>29</v>
      </c>
      <c r="E8" s="12" t="s">
        <v>30</v>
      </c>
    </row>
    <row r="9" spans="1:5" x14ac:dyDescent="0.3">
      <c r="A9" s="8" t="s">
        <v>31</v>
      </c>
      <c r="B9" s="13">
        <v>1.1499999999999999</v>
      </c>
      <c r="C9" s="10" t="s">
        <v>32</v>
      </c>
      <c r="D9" s="11" t="s">
        <v>33</v>
      </c>
      <c r="E9" s="12" t="s">
        <v>34</v>
      </c>
    </row>
    <row r="10" spans="1:5" ht="34.200000000000003" x14ac:dyDescent="0.3">
      <c r="A10" s="8" t="s">
        <v>35</v>
      </c>
      <c r="B10" s="9">
        <v>110</v>
      </c>
      <c r="C10" s="10" t="s">
        <v>36</v>
      </c>
      <c r="D10" s="11" t="s">
        <v>37</v>
      </c>
      <c r="E10" s="12" t="s">
        <v>38</v>
      </c>
    </row>
    <row r="11" spans="1:5" ht="26.4" x14ac:dyDescent="0.3">
      <c r="A11" s="8" t="s">
        <v>39</v>
      </c>
      <c r="B11" s="14">
        <v>1</v>
      </c>
      <c r="C11" s="10" t="s">
        <v>40</v>
      </c>
      <c r="D11" s="11" t="s">
        <v>41</v>
      </c>
      <c r="E11" s="12" t="s">
        <v>42</v>
      </c>
    </row>
  </sheetData>
  <mergeCells count="1">
    <mergeCell ref="A2:E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94"/>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43</v>
      </c>
    </row>
    <row r="2" spans="1:5" ht="30" customHeight="1" x14ac:dyDescent="0.3">
      <c r="A2" s="53" t="s">
        <v>44</v>
      </c>
      <c r="B2" s="54"/>
      <c r="C2" s="54"/>
      <c r="D2" s="54"/>
      <c r="E2" s="54"/>
    </row>
    <row r="5" spans="1:5" x14ac:dyDescent="0.3">
      <c r="A5" s="5" t="s">
        <v>45</v>
      </c>
      <c r="B5" s="6"/>
      <c r="C5" s="6"/>
      <c r="D5" s="6"/>
      <c r="E5" s="6"/>
    </row>
    <row r="6" spans="1:5" x14ac:dyDescent="0.3">
      <c r="A6" s="7" t="s">
        <v>18</v>
      </c>
      <c r="B6" s="7" t="s">
        <v>19</v>
      </c>
      <c r="C6" s="7" t="s">
        <v>20</v>
      </c>
      <c r="D6" s="7" t="s">
        <v>21</v>
      </c>
      <c r="E6" s="7" t="s">
        <v>22</v>
      </c>
    </row>
    <row r="7" spans="1:5" ht="22.8" x14ac:dyDescent="0.3">
      <c r="A7" s="8" t="s">
        <v>46</v>
      </c>
      <c r="B7" s="13">
        <v>3.1139999999999999</v>
      </c>
      <c r="C7" s="10" t="s">
        <v>47</v>
      </c>
      <c r="D7" s="11"/>
      <c r="E7" s="12" t="s">
        <v>48</v>
      </c>
    </row>
    <row r="8" spans="1:5" ht="22.8" x14ac:dyDescent="0.3">
      <c r="A8" s="8" t="s">
        <v>49</v>
      </c>
      <c r="B8" s="13">
        <v>3.1509999999999998</v>
      </c>
      <c r="C8" s="10" t="s">
        <v>47</v>
      </c>
      <c r="D8" s="11"/>
      <c r="E8" s="12" t="s">
        <v>48</v>
      </c>
    </row>
    <row r="9" spans="1:5" ht="22.8" x14ac:dyDescent="0.3">
      <c r="A9" s="8" t="s">
        <v>50</v>
      </c>
      <c r="B9" s="13">
        <v>3.206</v>
      </c>
      <c r="C9" s="10" t="s">
        <v>47</v>
      </c>
      <c r="D9" s="11"/>
      <c r="E9" s="12" t="s">
        <v>48</v>
      </c>
    </row>
    <row r="10" spans="1:5" ht="22.8" x14ac:dyDescent="0.3">
      <c r="A10" s="8" t="s">
        <v>51</v>
      </c>
      <c r="B10" s="13">
        <v>2.75</v>
      </c>
      <c r="C10" s="10" t="s">
        <v>47</v>
      </c>
      <c r="D10" s="11"/>
      <c r="E10" s="12" t="s">
        <v>48</v>
      </c>
    </row>
    <row r="11" spans="1:5" ht="22.8" x14ac:dyDescent="0.3">
      <c r="A11" s="8" t="s">
        <v>52</v>
      </c>
      <c r="B11" s="13">
        <v>1.375</v>
      </c>
      <c r="C11" s="10" t="s">
        <v>47</v>
      </c>
      <c r="D11" s="11"/>
      <c r="E11" s="12" t="s">
        <v>48</v>
      </c>
    </row>
    <row r="13" spans="1:5" x14ac:dyDescent="0.3">
      <c r="A13" s="5" t="s">
        <v>53</v>
      </c>
      <c r="B13" s="6"/>
      <c r="C13" s="6"/>
      <c r="D13" s="6"/>
      <c r="E13" s="6"/>
    </row>
    <row r="14" spans="1:5" x14ac:dyDescent="0.3">
      <c r="A14" s="7" t="s">
        <v>18</v>
      </c>
      <c r="B14" s="7" t="s">
        <v>19</v>
      </c>
      <c r="C14" s="7" t="s">
        <v>20</v>
      </c>
      <c r="D14" s="7" t="s">
        <v>21</v>
      </c>
      <c r="E14" s="7" t="s">
        <v>22</v>
      </c>
    </row>
    <row r="15" spans="1:5" x14ac:dyDescent="0.3">
      <c r="A15" s="8" t="s">
        <v>54</v>
      </c>
      <c r="B15" s="15">
        <v>5.0000000000000002E-5</v>
      </c>
      <c r="C15" s="10" t="s">
        <v>55</v>
      </c>
      <c r="D15" s="11"/>
      <c r="E15" s="12" t="s">
        <v>56</v>
      </c>
    </row>
    <row r="16" spans="1:5" x14ac:dyDescent="0.3">
      <c r="A16" s="8" t="s">
        <v>57</v>
      </c>
      <c r="B16" s="15">
        <v>1.8000000000000001E-4</v>
      </c>
      <c r="C16" s="10" t="s">
        <v>58</v>
      </c>
      <c r="D16" s="11"/>
      <c r="E16" s="12" t="s">
        <v>56</v>
      </c>
    </row>
    <row r="17" spans="1:5" ht="22.8" x14ac:dyDescent="0.3">
      <c r="A17" s="8" t="s">
        <v>59</v>
      </c>
      <c r="B17" s="14">
        <v>28</v>
      </c>
      <c r="C17" s="10"/>
      <c r="D17" s="11"/>
      <c r="E17" s="12" t="s">
        <v>60</v>
      </c>
    </row>
    <row r="18" spans="1:5" x14ac:dyDescent="0.3">
      <c r="A18" s="8" t="s">
        <v>61</v>
      </c>
      <c r="B18" s="14">
        <v>265</v>
      </c>
      <c r="C18" s="10"/>
      <c r="D18" s="11"/>
      <c r="E18" s="12" t="s">
        <v>62</v>
      </c>
    </row>
    <row r="19" spans="1:5" x14ac:dyDescent="0.3">
      <c r="A19" s="8" t="s">
        <v>63</v>
      </c>
      <c r="B19" s="16">
        <v>2026</v>
      </c>
      <c r="C19" s="10"/>
      <c r="D19" s="11"/>
      <c r="E19" s="12" t="s">
        <v>64</v>
      </c>
    </row>
    <row r="21" spans="1:5" x14ac:dyDescent="0.3">
      <c r="A21" s="5" t="s">
        <v>65</v>
      </c>
      <c r="B21" s="6"/>
      <c r="C21" s="6"/>
      <c r="D21" s="6"/>
      <c r="E21" s="6"/>
    </row>
    <row r="22" spans="1:5" x14ac:dyDescent="0.3">
      <c r="A22" s="7" t="s">
        <v>18</v>
      </c>
      <c r="B22" s="7" t="s">
        <v>19</v>
      </c>
      <c r="C22" s="7" t="s">
        <v>20</v>
      </c>
      <c r="D22" s="7" t="s">
        <v>21</v>
      </c>
      <c r="E22" s="7" t="s">
        <v>22</v>
      </c>
    </row>
    <row r="23" spans="1:5" x14ac:dyDescent="0.3">
      <c r="A23" s="8">
        <v>2023</v>
      </c>
      <c r="B23" s="17">
        <v>0</v>
      </c>
      <c r="C23" s="10" t="s">
        <v>66</v>
      </c>
      <c r="D23" s="11" t="s">
        <v>67</v>
      </c>
      <c r="E23" s="12" t="s">
        <v>68</v>
      </c>
    </row>
    <row r="24" spans="1:5" x14ac:dyDescent="0.3">
      <c r="A24" s="8">
        <v>2024</v>
      </c>
      <c r="B24" s="17">
        <v>0.4</v>
      </c>
      <c r="C24" s="10" t="s">
        <v>66</v>
      </c>
      <c r="D24" s="11" t="s">
        <v>69</v>
      </c>
      <c r="E24" s="12" t="s">
        <v>68</v>
      </c>
    </row>
    <row r="25" spans="1:5" x14ac:dyDescent="0.3">
      <c r="A25" s="8">
        <v>2025</v>
      </c>
      <c r="B25" s="17">
        <v>0.7</v>
      </c>
      <c r="C25" s="10" t="s">
        <v>66</v>
      </c>
      <c r="D25" s="11" t="s">
        <v>70</v>
      </c>
      <c r="E25" s="12" t="s">
        <v>68</v>
      </c>
    </row>
    <row r="26" spans="1:5" x14ac:dyDescent="0.3">
      <c r="A26" s="8">
        <v>2026</v>
      </c>
      <c r="B26" s="17">
        <v>1</v>
      </c>
      <c r="C26" s="10" t="s">
        <v>66</v>
      </c>
      <c r="D26" s="11" t="s">
        <v>71</v>
      </c>
      <c r="E26" s="12" t="s">
        <v>68</v>
      </c>
    </row>
    <row r="27" spans="1:5" x14ac:dyDescent="0.3">
      <c r="A27" s="8">
        <v>2027</v>
      </c>
      <c r="B27" s="17">
        <v>1</v>
      </c>
      <c r="C27" s="10" t="s">
        <v>66</v>
      </c>
      <c r="D27" s="11" t="s">
        <v>72</v>
      </c>
      <c r="E27" s="12" t="s">
        <v>68</v>
      </c>
    </row>
    <row r="28" spans="1:5" x14ac:dyDescent="0.3">
      <c r="A28" s="8">
        <v>2028</v>
      </c>
      <c r="B28" s="17">
        <v>1</v>
      </c>
      <c r="C28" s="10" t="s">
        <v>66</v>
      </c>
      <c r="D28" s="11" t="s">
        <v>73</v>
      </c>
      <c r="E28" s="12" t="s">
        <v>68</v>
      </c>
    </row>
    <row r="29" spans="1:5" x14ac:dyDescent="0.3">
      <c r="A29" s="8">
        <v>2029</v>
      </c>
      <c r="B29" s="17">
        <v>1</v>
      </c>
      <c r="C29" s="10" t="s">
        <v>66</v>
      </c>
      <c r="D29" s="11" t="s">
        <v>74</v>
      </c>
      <c r="E29" s="12" t="s">
        <v>68</v>
      </c>
    </row>
    <row r="30" spans="1:5" x14ac:dyDescent="0.3">
      <c r="A30" s="8">
        <v>2030</v>
      </c>
      <c r="B30" s="17">
        <v>1</v>
      </c>
      <c r="C30" s="10" t="s">
        <v>66</v>
      </c>
      <c r="D30" s="11" t="s">
        <v>75</v>
      </c>
      <c r="E30" s="12" t="s">
        <v>68</v>
      </c>
    </row>
    <row r="32" spans="1:5" x14ac:dyDescent="0.3">
      <c r="A32" s="5" t="s">
        <v>76</v>
      </c>
      <c r="B32" s="6"/>
      <c r="C32" s="6"/>
      <c r="D32" s="6"/>
      <c r="E32" s="6"/>
    </row>
    <row r="33" spans="1:5" x14ac:dyDescent="0.3">
      <c r="A33" s="7" t="s">
        <v>18</v>
      </c>
      <c r="B33" s="7" t="s">
        <v>19</v>
      </c>
      <c r="C33" s="7" t="s">
        <v>20</v>
      </c>
      <c r="D33" s="7" t="s">
        <v>21</v>
      </c>
      <c r="E33" s="7" t="s">
        <v>22</v>
      </c>
    </row>
    <row r="34" spans="1:5" x14ac:dyDescent="0.3">
      <c r="A34" s="8" t="s">
        <v>77</v>
      </c>
      <c r="B34" s="17">
        <v>1</v>
      </c>
      <c r="C34" s="10"/>
      <c r="D34" s="11"/>
      <c r="E34" s="12" t="s">
        <v>78</v>
      </c>
    </row>
    <row r="35" spans="1:5" x14ac:dyDescent="0.3">
      <c r="A35" s="8" t="s">
        <v>79</v>
      </c>
      <c r="B35" s="17">
        <v>0.5</v>
      </c>
      <c r="C35" s="10"/>
      <c r="D35" s="11"/>
      <c r="E35" s="12" t="s">
        <v>62</v>
      </c>
    </row>
    <row r="36" spans="1:5" x14ac:dyDescent="0.3">
      <c r="A36" s="8" t="s">
        <v>80</v>
      </c>
      <c r="B36" s="17">
        <v>1</v>
      </c>
      <c r="C36" s="10"/>
      <c r="D36" s="11"/>
      <c r="E36" s="12" t="s">
        <v>62</v>
      </c>
    </row>
    <row r="37" spans="1:5" x14ac:dyDescent="0.3">
      <c r="A37" s="8" t="s">
        <v>81</v>
      </c>
      <c r="B37" s="17">
        <v>0.5</v>
      </c>
      <c r="C37" s="10"/>
      <c r="D37" s="11"/>
      <c r="E37" s="12" t="s">
        <v>82</v>
      </c>
    </row>
    <row r="39" spans="1:5" x14ac:dyDescent="0.3">
      <c r="A39" s="5" t="s">
        <v>83</v>
      </c>
      <c r="B39" s="6"/>
      <c r="C39" s="6"/>
      <c r="D39" s="6"/>
      <c r="E39" s="6"/>
    </row>
    <row r="40" spans="1:5" x14ac:dyDescent="0.3">
      <c r="A40" s="7" t="s">
        <v>18</v>
      </c>
      <c r="B40" s="7" t="s">
        <v>19</v>
      </c>
      <c r="C40" s="7" t="s">
        <v>20</v>
      </c>
      <c r="D40" s="7" t="s">
        <v>21</v>
      </c>
      <c r="E40" s="7" t="s">
        <v>22</v>
      </c>
    </row>
    <row r="41" spans="1:5" x14ac:dyDescent="0.3">
      <c r="A41" s="8" t="s">
        <v>84</v>
      </c>
      <c r="B41" s="13">
        <v>91.16</v>
      </c>
      <c r="C41" s="10" t="s">
        <v>85</v>
      </c>
      <c r="D41" s="11"/>
      <c r="E41" s="12" t="s">
        <v>86</v>
      </c>
    </row>
    <row r="42" spans="1:5" ht="22.8" x14ac:dyDescent="0.3">
      <c r="A42" s="8">
        <v>2025</v>
      </c>
      <c r="B42" s="17">
        <v>0.02</v>
      </c>
      <c r="C42" s="10" t="s">
        <v>87</v>
      </c>
      <c r="D42" s="11" t="s">
        <v>88</v>
      </c>
      <c r="E42" s="12" t="s">
        <v>86</v>
      </c>
    </row>
    <row r="43" spans="1:5" ht="22.8" x14ac:dyDescent="0.3">
      <c r="A43" s="8">
        <v>2026</v>
      </c>
      <c r="B43" s="17">
        <v>0.02</v>
      </c>
      <c r="C43" s="10" t="s">
        <v>87</v>
      </c>
      <c r="D43" s="11" t="s">
        <v>89</v>
      </c>
      <c r="E43" s="12" t="s">
        <v>86</v>
      </c>
    </row>
    <row r="44" spans="1:5" ht="22.8" x14ac:dyDescent="0.3">
      <c r="A44" s="8">
        <v>2027</v>
      </c>
      <c r="B44" s="17">
        <v>0.02</v>
      </c>
      <c r="C44" s="10" t="s">
        <v>87</v>
      </c>
      <c r="D44" s="11" t="s">
        <v>90</v>
      </c>
      <c r="E44" s="12" t="s">
        <v>86</v>
      </c>
    </row>
    <row r="45" spans="1:5" ht="22.8" x14ac:dyDescent="0.3">
      <c r="A45" s="8">
        <v>2028</v>
      </c>
      <c r="B45" s="17">
        <v>0.02</v>
      </c>
      <c r="C45" s="10" t="s">
        <v>87</v>
      </c>
      <c r="D45" s="11" t="s">
        <v>91</v>
      </c>
      <c r="E45" s="12" t="s">
        <v>86</v>
      </c>
    </row>
    <row r="46" spans="1:5" ht="22.8" x14ac:dyDescent="0.3">
      <c r="A46" s="8">
        <v>2029</v>
      </c>
      <c r="B46" s="17">
        <v>0.02</v>
      </c>
      <c r="C46" s="10" t="s">
        <v>87</v>
      </c>
      <c r="D46" s="11" t="s">
        <v>92</v>
      </c>
      <c r="E46" s="12" t="s">
        <v>86</v>
      </c>
    </row>
    <row r="47" spans="1:5" ht="22.8" x14ac:dyDescent="0.3">
      <c r="A47" s="8">
        <v>2030</v>
      </c>
      <c r="B47" s="17">
        <v>0.06</v>
      </c>
      <c r="C47" s="10" t="s">
        <v>87</v>
      </c>
      <c r="D47" s="11" t="s">
        <v>93</v>
      </c>
      <c r="E47" s="12" t="s">
        <v>86</v>
      </c>
    </row>
    <row r="48" spans="1:5" ht="22.8" x14ac:dyDescent="0.3">
      <c r="A48" s="8">
        <v>2035</v>
      </c>
      <c r="B48" s="17">
        <v>0.14499999999999999</v>
      </c>
      <c r="C48" s="10" t="s">
        <v>87</v>
      </c>
      <c r="D48" s="11" t="s">
        <v>94</v>
      </c>
      <c r="E48" s="12" t="s">
        <v>86</v>
      </c>
    </row>
    <row r="49" spans="1:5" x14ac:dyDescent="0.3">
      <c r="A49" s="8" t="s">
        <v>95</v>
      </c>
      <c r="B49" s="14">
        <v>40500</v>
      </c>
      <c r="C49" s="10" t="s">
        <v>96</v>
      </c>
      <c r="D49" s="11"/>
      <c r="E49" s="12" t="s">
        <v>97</v>
      </c>
    </row>
    <row r="50" spans="1:5" x14ac:dyDescent="0.3">
      <c r="A50" s="8" t="s">
        <v>98</v>
      </c>
      <c r="B50" s="13">
        <v>91.74</v>
      </c>
      <c r="C50" s="10" t="s">
        <v>85</v>
      </c>
      <c r="D50" s="11"/>
      <c r="E50" s="12" t="s">
        <v>99</v>
      </c>
    </row>
    <row r="51" spans="1:5" ht="26.4" x14ac:dyDescent="0.3">
      <c r="A51" s="8" t="s">
        <v>100</v>
      </c>
      <c r="B51" s="14">
        <v>2400</v>
      </c>
      <c r="C51" s="10" t="s">
        <v>101</v>
      </c>
      <c r="D51" s="11"/>
      <c r="E51" s="12" t="s">
        <v>102</v>
      </c>
    </row>
    <row r="52" spans="1:5" x14ac:dyDescent="0.3">
      <c r="A52" s="8" t="s">
        <v>103</v>
      </c>
      <c r="B52" s="14">
        <v>41000</v>
      </c>
      <c r="C52" s="10" t="s">
        <v>104</v>
      </c>
      <c r="D52" s="11"/>
      <c r="E52" s="12" t="s">
        <v>62</v>
      </c>
    </row>
    <row r="54" spans="1:5" x14ac:dyDescent="0.3">
      <c r="A54" s="5" t="s">
        <v>105</v>
      </c>
      <c r="B54" s="6"/>
      <c r="C54" s="6"/>
      <c r="D54" s="6"/>
      <c r="E54" s="6"/>
    </row>
    <row r="55" spans="1:5" x14ac:dyDescent="0.3">
      <c r="A55" s="7" t="s">
        <v>18</v>
      </c>
      <c r="B55" s="7" t="s">
        <v>19</v>
      </c>
      <c r="C55" s="7" t="s">
        <v>20</v>
      </c>
      <c r="D55" s="7" t="s">
        <v>21</v>
      </c>
      <c r="E55" s="7" t="s">
        <v>22</v>
      </c>
    </row>
    <row r="56" spans="1:5" x14ac:dyDescent="0.3">
      <c r="A56" s="8" t="s">
        <v>106</v>
      </c>
      <c r="B56" s="14">
        <v>4745</v>
      </c>
      <c r="C56" s="10"/>
      <c r="D56" s="11" t="s">
        <v>107</v>
      </c>
      <c r="E56" s="12" t="s">
        <v>108</v>
      </c>
    </row>
    <row r="57" spans="1:5" x14ac:dyDescent="0.3">
      <c r="A57" s="8" t="s">
        <v>109</v>
      </c>
      <c r="B57" s="13">
        <v>0.622</v>
      </c>
      <c r="C57" s="10"/>
      <c r="D57" s="11"/>
      <c r="E57" s="12" t="s">
        <v>62</v>
      </c>
    </row>
    <row r="58" spans="1:5" x14ac:dyDescent="0.3">
      <c r="A58" s="8" t="s">
        <v>110</v>
      </c>
      <c r="B58" s="14">
        <v>1984</v>
      </c>
      <c r="C58" s="10"/>
      <c r="D58" s="11"/>
      <c r="E58" s="12" t="s">
        <v>62</v>
      </c>
    </row>
    <row r="59" spans="1:5" x14ac:dyDescent="0.3">
      <c r="A59" s="8" t="s">
        <v>111</v>
      </c>
      <c r="B59" s="13">
        <v>0.48899999999999999</v>
      </c>
      <c r="C59" s="10"/>
      <c r="D59" s="11"/>
      <c r="E59" s="12" t="s">
        <v>62</v>
      </c>
    </row>
    <row r="60" spans="1:5" x14ac:dyDescent="0.3">
      <c r="A60" s="8" t="s">
        <v>112</v>
      </c>
      <c r="B60" s="13">
        <v>0.86</v>
      </c>
      <c r="C60" s="10" t="s">
        <v>113</v>
      </c>
      <c r="D60" s="11"/>
      <c r="E60" s="12" t="s">
        <v>114</v>
      </c>
    </row>
    <row r="61" spans="1:5" x14ac:dyDescent="0.3">
      <c r="A61" s="8" t="s">
        <v>115</v>
      </c>
      <c r="B61" s="13">
        <v>0.94</v>
      </c>
      <c r="C61" s="10" t="s">
        <v>113</v>
      </c>
      <c r="D61" s="11"/>
      <c r="E61" s="12" t="s">
        <v>114</v>
      </c>
    </row>
    <row r="62" spans="1:5" x14ac:dyDescent="0.3">
      <c r="A62" s="8" t="s">
        <v>116</v>
      </c>
      <c r="B62" s="13">
        <v>1.06</v>
      </c>
      <c r="C62" s="10" t="s">
        <v>113</v>
      </c>
      <c r="D62" s="11"/>
      <c r="E62" s="12" t="s">
        <v>114</v>
      </c>
    </row>
    <row r="63" spans="1:5" x14ac:dyDescent="0.3">
      <c r="A63" s="8" t="s">
        <v>117</v>
      </c>
      <c r="B63" s="13">
        <v>1.18</v>
      </c>
      <c r="C63" s="10" t="s">
        <v>113</v>
      </c>
      <c r="D63" s="11"/>
      <c r="E63" s="12" t="s">
        <v>114</v>
      </c>
    </row>
    <row r="64" spans="1:5" x14ac:dyDescent="0.3">
      <c r="A64" s="8" t="s">
        <v>118</v>
      </c>
      <c r="B64" s="13">
        <v>0.83</v>
      </c>
      <c r="C64" s="10" t="s">
        <v>113</v>
      </c>
      <c r="D64" s="11"/>
      <c r="E64" s="12" t="s">
        <v>114</v>
      </c>
    </row>
    <row r="65" spans="1:5" x14ac:dyDescent="0.3">
      <c r="A65" s="8" t="s">
        <v>119</v>
      </c>
      <c r="B65" s="13">
        <v>0.94</v>
      </c>
      <c r="C65" s="10" t="s">
        <v>113</v>
      </c>
      <c r="D65" s="11"/>
      <c r="E65" s="12" t="s">
        <v>114</v>
      </c>
    </row>
    <row r="66" spans="1:5" x14ac:dyDescent="0.3">
      <c r="A66" s="8" t="s">
        <v>120</v>
      </c>
      <c r="B66" s="13">
        <v>1.07</v>
      </c>
      <c r="C66" s="10" t="s">
        <v>113</v>
      </c>
      <c r="D66" s="11"/>
      <c r="E66" s="12" t="s">
        <v>114</v>
      </c>
    </row>
    <row r="67" spans="1:5" x14ac:dyDescent="0.3">
      <c r="A67" s="8" t="s">
        <v>121</v>
      </c>
      <c r="B67" s="13">
        <v>1.19</v>
      </c>
      <c r="C67" s="10" t="s">
        <v>113</v>
      </c>
      <c r="D67" s="11"/>
      <c r="E67" s="12" t="s">
        <v>114</v>
      </c>
    </row>
    <row r="68" spans="1:5" x14ac:dyDescent="0.3">
      <c r="A68" s="8">
        <v>2023</v>
      </c>
      <c r="B68" s="17">
        <v>0.05</v>
      </c>
      <c r="C68" s="10" t="s">
        <v>122</v>
      </c>
      <c r="D68" s="11" t="s">
        <v>123</v>
      </c>
      <c r="E68" s="12" t="s">
        <v>124</v>
      </c>
    </row>
    <row r="69" spans="1:5" x14ac:dyDescent="0.3">
      <c r="A69" s="8">
        <v>2024</v>
      </c>
      <c r="B69" s="17">
        <v>7.0000000000000007E-2</v>
      </c>
      <c r="C69" s="10" t="s">
        <v>122</v>
      </c>
      <c r="D69" s="11" t="s">
        <v>125</v>
      </c>
      <c r="E69" s="12" t="s">
        <v>124</v>
      </c>
    </row>
    <row r="70" spans="1:5" x14ac:dyDescent="0.3">
      <c r="A70" s="8">
        <v>2025</v>
      </c>
      <c r="B70" s="17">
        <v>0.09</v>
      </c>
      <c r="C70" s="10" t="s">
        <v>122</v>
      </c>
      <c r="D70" s="11" t="s">
        <v>126</v>
      </c>
      <c r="E70" s="12" t="s">
        <v>124</v>
      </c>
    </row>
    <row r="71" spans="1:5" x14ac:dyDescent="0.3">
      <c r="A71" s="8">
        <v>2026</v>
      </c>
      <c r="B71" s="17">
        <v>0.11</v>
      </c>
      <c r="C71" s="10" t="s">
        <v>122</v>
      </c>
      <c r="D71" s="11" t="s">
        <v>127</v>
      </c>
      <c r="E71" s="12" t="s">
        <v>124</v>
      </c>
    </row>
    <row r="72" spans="1:5" x14ac:dyDescent="0.3">
      <c r="A72" s="8">
        <v>2027</v>
      </c>
      <c r="B72" s="17">
        <v>0.13625000000000001</v>
      </c>
      <c r="C72" s="10" t="s">
        <v>122</v>
      </c>
      <c r="D72" s="11" t="s">
        <v>128</v>
      </c>
      <c r="E72" s="12" t="s">
        <v>124</v>
      </c>
    </row>
    <row r="73" spans="1:5" x14ac:dyDescent="0.3">
      <c r="A73" s="8">
        <v>2028</v>
      </c>
      <c r="B73" s="17">
        <v>0.16250000000000001</v>
      </c>
      <c r="C73" s="10" t="s">
        <v>122</v>
      </c>
      <c r="D73" s="11" t="s">
        <v>129</v>
      </c>
      <c r="E73" s="12" t="s">
        <v>124</v>
      </c>
    </row>
    <row r="74" spans="1:5" x14ac:dyDescent="0.3">
      <c r="A74" s="8">
        <v>2029</v>
      </c>
      <c r="B74" s="17">
        <v>0.18875</v>
      </c>
      <c r="C74" s="10" t="s">
        <v>122</v>
      </c>
      <c r="D74" s="11" t="s">
        <v>130</v>
      </c>
      <c r="E74" s="12" t="s">
        <v>124</v>
      </c>
    </row>
    <row r="75" spans="1:5" x14ac:dyDescent="0.3">
      <c r="A75" s="8">
        <v>2030</v>
      </c>
      <c r="B75" s="17">
        <v>0.215</v>
      </c>
      <c r="C75" s="10" t="s">
        <v>122</v>
      </c>
      <c r="D75" s="11" t="s">
        <v>131</v>
      </c>
      <c r="E75" s="12" t="s">
        <v>124</v>
      </c>
    </row>
    <row r="77" spans="1:5" x14ac:dyDescent="0.3">
      <c r="A77" s="5" t="s">
        <v>132</v>
      </c>
      <c r="B77" s="6"/>
      <c r="C77" s="6"/>
      <c r="D77" s="6"/>
      <c r="E77" s="6"/>
    </row>
    <row r="78" spans="1:5" x14ac:dyDescent="0.3">
      <c r="A78" s="7" t="s">
        <v>18</v>
      </c>
      <c r="B78" s="7" t="s">
        <v>19</v>
      </c>
      <c r="C78" s="7" t="s">
        <v>20</v>
      </c>
      <c r="D78" s="7" t="s">
        <v>21</v>
      </c>
      <c r="E78" s="7" t="s">
        <v>22</v>
      </c>
    </row>
    <row r="79" spans="1:5" x14ac:dyDescent="0.3">
      <c r="A79" s="8" t="s">
        <v>133</v>
      </c>
      <c r="B79" s="13">
        <v>961.79</v>
      </c>
      <c r="C79" s="10"/>
      <c r="D79" s="11" t="s">
        <v>134</v>
      </c>
      <c r="E79" s="12" t="s">
        <v>135</v>
      </c>
    </row>
    <row r="80" spans="1:5" x14ac:dyDescent="0.3">
      <c r="A80" s="8" t="s">
        <v>136</v>
      </c>
      <c r="B80" s="13">
        <v>0.47699999999999998</v>
      </c>
      <c r="C80" s="10"/>
      <c r="D80" s="11"/>
      <c r="E80" s="12" t="s">
        <v>62</v>
      </c>
    </row>
    <row r="81" spans="1:5" x14ac:dyDescent="0.3">
      <c r="A81" s="8" t="s">
        <v>137</v>
      </c>
      <c r="B81" s="17">
        <v>0.2</v>
      </c>
      <c r="C81" s="10"/>
      <c r="D81" s="11"/>
      <c r="E81" s="12" t="s">
        <v>138</v>
      </c>
    </row>
    <row r="83" spans="1:5" x14ac:dyDescent="0.3">
      <c r="A83" s="5" t="s">
        <v>139</v>
      </c>
      <c r="B83" s="6"/>
      <c r="C83" s="6"/>
      <c r="D83" s="6"/>
      <c r="E83" s="6"/>
    </row>
    <row r="84" spans="1:5" x14ac:dyDescent="0.3">
      <c r="A84" s="7" t="s">
        <v>18</v>
      </c>
      <c r="B84" s="7" t="s">
        <v>19</v>
      </c>
      <c r="C84" s="7" t="s">
        <v>20</v>
      </c>
      <c r="D84" s="7" t="s">
        <v>21</v>
      </c>
      <c r="E84" s="7" t="s">
        <v>22</v>
      </c>
    </row>
    <row r="85" spans="1:5" x14ac:dyDescent="0.3">
      <c r="A85" s="8" t="s">
        <v>140</v>
      </c>
      <c r="B85" s="13">
        <v>2.75</v>
      </c>
      <c r="C85" s="10" t="s">
        <v>141</v>
      </c>
      <c r="D85" s="11"/>
      <c r="E85" s="12" t="s">
        <v>142</v>
      </c>
    </row>
    <row r="86" spans="1:5" x14ac:dyDescent="0.3">
      <c r="A86" s="8" t="s">
        <v>143</v>
      </c>
      <c r="B86" s="14">
        <v>175</v>
      </c>
      <c r="C86" s="10" t="s">
        <v>144</v>
      </c>
      <c r="D86" s="11"/>
      <c r="E86" s="12" t="s">
        <v>62</v>
      </c>
    </row>
    <row r="88" spans="1:5" x14ac:dyDescent="0.3">
      <c r="A88" s="5" t="s">
        <v>145</v>
      </c>
      <c r="B88" s="6"/>
      <c r="C88" s="6"/>
      <c r="D88" s="6"/>
      <c r="E88" s="6"/>
    </row>
    <row r="89" spans="1:5" x14ac:dyDescent="0.3">
      <c r="A89" s="7" t="s">
        <v>18</v>
      </c>
      <c r="B89" s="7" t="s">
        <v>19</v>
      </c>
      <c r="C89" s="7" t="s">
        <v>20</v>
      </c>
      <c r="D89" s="7" t="s">
        <v>21</v>
      </c>
      <c r="E89" s="7" t="s">
        <v>22</v>
      </c>
    </row>
    <row r="90" spans="1:5" x14ac:dyDescent="0.3">
      <c r="A90" s="8" t="s">
        <v>146</v>
      </c>
      <c r="B90" s="13">
        <v>93.3</v>
      </c>
      <c r="C90" s="10" t="s">
        <v>85</v>
      </c>
      <c r="D90" s="11"/>
      <c r="E90" s="12" t="s">
        <v>147</v>
      </c>
    </row>
    <row r="91" spans="1:5" x14ac:dyDescent="0.3">
      <c r="A91" s="8" t="s">
        <v>148</v>
      </c>
      <c r="B91" s="17">
        <v>0.04</v>
      </c>
      <c r="C91" s="10"/>
      <c r="D91" s="11"/>
      <c r="E91" s="12" t="s">
        <v>62</v>
      </c>
    </row>
    <row r="92" spans="1:5" x14ac:dyDescent="0.3">
      <c r="A92" s="8" t="s">
        <v>149</v>
      </c>
      <c r="B92" s="17">
        <v>0.17</v>
      </c>
      <c r="C92" s="10"/>
      <c r="D92" s="11"/>
      <c r="E92" s="12" t="s">
        <v>62</v>
      </c>
    </row>
    <row r="93" spans="1:5" x14ac:dyDescent="0.3">
      <c r="A93" s="8" t="s">
        <v>150</v>
      </c>
      <c r="B93" s="14">
        <v>100</v>
      </c>
      <c r="C93" s="10" t="s">
        <v>151</v>
      </c>
      <c r="D93" s="11"/>
      <c r="E93" s="12" t="s">
        <v>62</v>
      </c>
    </row>
    <row r="94" spans="1:5" x14ac:dyDescent="0.3">
      <c r="A94" s="8" t="s">
        <v>152</v>
      </c>
      <c r="B94" s="14">
        <v>380</v>
      </c>
      <c r="C94" s="10" t="s">
        <v>151</v>
      </c>
      <c r="D94" s="11"/>
      <c r="E94" s="12" t="s">
        <v>62</v>
      </c>
    </row>
  </sheetData>
  <mergeCells count="1">
    <mergeCell ref="A2:E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5"/>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153</v>
      </c>
    </row>
    <row r="2" spans="1:5" ht="30" customHeight="1" x14ac:dyDescent="0.3">
      <c r="A2" s="53" t="s">
        <v>154</v>
      </c>
      <c r="B2" s="54"/>
      <c r="C2" s="54"/>
      <c r="D2" s="54"/>
      <c r="E2" s="54"/>
    </row>
    <row r="5" spans="1:5" x14ac:dyDescent="0.3">
      <c r="A5" s="5" t="s">
        <v>155</v>
      </c>
      <c r="B5" s="6"/>
      <c r="C5" s="6"/>
      <c r="D5" s="6"/>
      <c r="E5" s="6"/>
    </row>
    <row r="6" spans="1:5" x14ac:dyDescent="0.3">
      <c r="A6" s="7" t="s">
        <v>18</v>
      </c>
      <c r="B6" s="7" t="s">
        <v>19</v>
      </c>
      <c r="C6" s="7" t="s">
        <v>20</v>
      </c>
      <c r="D6" s="7" t="s">
        <v>21</v>
      </c>
      <c r="E6" s="7" t="s">
        <v>22</v>
      </c>
    </row>
    <row r="7" spans="1:5" x14ac:dyDescent="0.3">
      <c r="A7" s="8" t="s">
        <v>156</v>
      </c>
      <c r="B7" s="16">
        <v>2025</v>
      </c>
      <c r="C7" s="10"/>
      <c r="D7" s="11"/>
      <c r="E7" s="12" t="s">
        <v>157</v>
      </c>
    </row>
    <row r="8" spans="1:5" x14ac:dyDescent="0.3">
      <c r="A8" s="8" t="s">
        <v>158</v>
      </c>
      <c r="B8" s="18">
        <v>602.76324999999997</v>
      </c>
      <c r="C8" s="10" t="s">
        <v>159</v>
      </c>
      <c r="D8" s="11"/>
      <c r="E8" s="12" t="s">
        <v>160</v>
      </c>
    </row>
    <row r="9" spans="1:5" x14ac:dyDescent="0.3">
      <c r="A9" s="8" t="s">
        <v>161</v>
      </c>
      <c r="B9" s="18">
        <v>5346.6825600000002</v>
      </c>
      <c r="C9" s="10" t="s">
        <v>159</v>
      </c>
      <c r="D9" s="11"/>
      <c r="E9" s="12" t="s">
        <v>62</v>
      </c>
    </row>
    <row r="10" spans="1:5" x14ac:dyDescent="0.3">
      <c r="A10" s="8" t="s">
        <v>162</v>
      </c>
      <c r="B10" s="18">
        <v>7493.6838399999997</v>
      </c>
      <c r="C10" s="10" t="s">
        <v>159</v>
      </c>
      <c r="D10" s="11"/>
      <c r="E10" s="12" t="s">
        <v>62</v>
      </c>
    </row>
    <row r="11" spans="1:5" x14ac:dyDescent="0.3">
      <c r="A11" s="8" t="s">
        <v>163</v>
      </c>
      <c r="B11" s="18">
        <v>386.02269000000001</v>
      </c>
      <c r="C11" s="10" t="s">
        <v>159</v>
      </c>
      <c r="D11" s="11"/>
      <c r="E11" s="12" t="s">
        <v>62</v>
      </c>
    </row>
    <row r="12" spans="1:5" ht="22.8" x14ac:dyDescent="0.3">
      <c r="A12" s="8" t="s">
        <v>164</v>
      </c>
      <c r="B12" s="18">
        <v>7408.9691400000002</v>
      </c>
      <c r="C12" s="10" t="s">
        <v>159</v>
      </c>
      <c r="D12" s="11"/>
      <c r="E12" s="12" t="s">
        <v>165</v>
      </c>
    </row>
    <row r="13" spans="1:5" x14ac:dyDescent="0.3">
      <c r="A13" s="8" t="s">
        <v>166</v>
      </c>
      <c r="B13" s="19">
        <f>$B$8*'Rule tables'!$B$34</f>
        <v>602.76324999999997</v>
      </c>
      <c r="C13" s="10" t="s">
        <v>159</v>
      </c>
      <c r="D13" s="11" t="s">
        <v>167</v>
      </c>
      <c r="E13" s="12"/>
    </row>
    <row r="14" spans="1:5" x14ac:dyDescent="0.3">
      <c r="A14" s="8" t="s">
        <v>168</v>
      </c>
      <c r="B14" s="19">
        <f>($B$9+$B$10)*'Rule tables'!$B$35</f>
        <v>6420.1831999999995</v>
      </c>
      <c r="C14" s="10" t="s">
        <v>159</v>
      </c>
      <c r="D14" s="11" t="s">
        <v>169</v>
      </c>
      <c r="E14" s="12"/>
    </row>
    <row r="15" spans="1:5" x14ac:dyDescent="0.3">
      <c r="A15" s="8" t="s">
        <v>170</v>
      </c>
      <c r="B15" s="19">
        <f>$B$11*'Rule tables'!$B$36</f>
        <v>386.02269000000001</v>
      </c>
      <c r="C15" s="10" t="s">
        <v>159</v>
      </c>
      <c r="D15" s="11" t="s">
        <v>171</v>
      </c>
      <c r="E15" s="12"/>
    </row>
    <row r="16" spans="1:5" x14ac:dyDescent="0.3">
      <c r="A16" s="8" t="s">
        <v>172</v>
      </c>
      <c r="B16" s="20">
        <f>$B$13+$B$14+$B$15</f>
        <v>7408.9691399999992</v>
      </c>
      <c r="C16" s="10" t="s">
        <v>159</v>
      </c>
      <c r="D16" s="11" t="s">
        <v>173</v>
      </c>
      <c r="E16" s="12"/>
    </row>
    <row r="17" spans="1:5" x14ac:dyDescent="0.3">
      <c r="A17" s="8" t="s">
        <v>174</v>
      </c>
      <c r="B17" s="21">
        <f>IF($B$16=0,0,$B$12/$B$16)</f>
        <v>1.0000000000000002</v>
      </c>
      <c r="C17" s="10"/>
      <c r="D17" s="11" t="s">
        <v>175</v>
      </c>
      <c r="E17" s="12"/>
    </row>
    <row r="18" spans="1:5" x14ac:dyDescent="0.3">
      <c r="A18" s="8" t="s">
        <v>176</v>
      </c>
      <c r="B18" s="20">
        <f>$B$16*$B$17</f>
        <v>7408.9691400000011</v>
      </c>
      <c r="C18" s="10" t="s">
        <v>159</v>
      </c>
      <c r="D18" s="11" t="s">
        <v>177</v>
      </c>
      <c r="E18" s="12"/>
    </row>
    <row r="19" spans="1:5" x14ac:dyDescent="0.3">
      <c r="A19" s="8" t="s">
        <v>178</v>
      </c>
      <c r="B19" s="22">
        <f>INDEX('Rule tables'!$B$23:$B$30,MATCH($B$7,'Rule tables'!$A$23:$A$30,0))</f>
        <v>0.7</v>
      </c>
      <c r="C19" s="10"/>
      <c r="D19" s="11" t="s">
        <v>179</v>
      </c>
      <c r="E19" s="12"/>
    </row>
    <row r="20" spans="1:5" x14ac:dyDescent="0.3">
      <c r="A20" s="8" t="s">
        <v>180</v>
      </c>
      <c r="B20" s="23">
        <f>$B$18*$B$19</f>
        <v>5186.2783980000004</v>
      </c>
      <c r="C20" s="10" t="s">
        <v>181</v>
      </c>
      <c r="D20" s="11" t="s">
        <v>182</v>
      </c>
      <c r="E20" s="12"/>
    </row>
    <row r="21" spans="1:5" x14ac:dyDescent="0.3">
      <c r="A21" s="24" t="s">
        <v>183</v>
      </c>
      <c r="B21" s="25">
        <f>$B$20*Assumptions!$B$7</f>
        <v>440833.66383000003</v>
      </c>
      <c r="C21" s="10" t="s">
        <v>184</v>
      </c>
      <c r="D21" s="11" t="s">
        <v>185</v>
      </c>
      <c r="E21" s="12"/>
    </row>
    <row r="22" spans="1:5" x14ac:dyDescent="0.3">
      <c r="A22" s="8" t="s">
        <v>186</v>
      </c>
      <c r="B22" s="26">
        <f>$B$18*'Rule tables'!$B$26*Assumptions!$B$7</f>
        <v>629762.37690000003</v>
      </c>
      <c r="C22" s="10" t="s">
        <v>184</v>
      </c>
      <c r="D22" s="11" t="s">
        <v>187</v>
      </c>
      <c r="E22" s="12"/>
    </row>
    <row r="24" spans="1:5" x14ac:dyDescent="0.3">
      <c r="A24" s="5" t="s">
        <v>188</v>
      </c>
      <c r="B24" s="6"/>
      <c r="C24" s="6"/>
      <c r="D24" s="6"/>
      <c r="E24" s="6"/>
    </row>
    <row r="25" spans="1:5" x14ac:dyDescent="0.3">
      <c r="A25" s="7" t="s">
        <v>18</v>
      </c>
      <c r="B25" s="7" t="s">
        <v>19</v>
      </c>
      <c r="C25" s="7" t="s">
        <v>20</v>
      </c>
      <c r="D25" s="7" t="s">
        <v>21</v>
      </c>
      <c r="E25" s="7" t="s">
        <v>22</v>
      </c>
    </row>
    <row r="26" spans="1:5" x14ac:dyDescent="0.3">
      <c r="A26" s="8" t="s">
        <v>156</v>
      </c>
      <c r="B26" s="16">
        <v>2026</v>
      </c>
      <c r="C26" s="10"/>
      <c r="D26" s="11"/>
      <c r="E26" s="12" t="s">
        <v>189</v>
      </c>
    </row>
    <row r="27" spans="1:5" x14ac:dyDescent="0.3">
      <c r="A27" s="8" t="s">
        <v>190</v>
      </c>
      <c r="B27" s="18">
        <v>3000</v>
      </c>
      <c r="C27" s="10" t="s">
        <v>159</v>
      </c>
      <c r="D27" s="11"/>
      <c r="E27" s="12" t="s">
        <v>189</v>
      </c>
    </row>
    <row r="28" spans="1:5" x14ac:dyDescent="0.3">
      <c r="A28" s="8" t="s">
        <v>191</v>
      </c>
      <c r="B28" s="27">
        <f>$B$27*'Rule tables'!$B$7</f>
        <v>9342</v>
      </c>
      <c r="C28" s="10" t="s">
        <v>159</v>
      </c>
      <c r="D28" s="11" t="s">
        <v>192</v>
      </c>
      <c r="E28" s="12"/>
    </row>
    <row r="29" spans="1:5" x14ac:dyDescent="0.3">
      <c r="A29" s="8" t="s">
        <v>193</v>
      </c>
      <c r="B29" s="23">
        <f>IF($B$26&gt;='Rule tables'!$B$19,$B$27*'Rule tables'!$B$15*'Rule tables'!$B$17,0)</f>
        <v>4.2</v>
      </c>
      <c r="C29" s="10" t="s">
        <v>194</v>
      </c>
      <c r="D29" s="11" t="s">
        <v>195</v>
      </c>
      <c r="E29" s="12"/>
    </row>
    <row r="30" spans="1:5" x14ac:dyDescent="0.3">
      <c r="A30" s="8" t="s">
        <v>196</v>
      </c>
      <c r="B30" s="23">
        <f>IF($B$26&gt;='Rule tables'!$B$19,$B$27*'Rule tables'!$B$16*'Rule tables'!$B$18,0)</f>
        <v>143.10000000000002</v>
      </c>
      <c r="C30" s="10" t="s">
        <v>194</v>
      </c>
      <c r="D30" s="11" t="s">
        <v>197</v>
      </c>
      <c r="E30" s="12"/>
    </row>
    <row r="31" spans="1:5" x14ac:dyDescent="0.3">
      <c r="A31" s="8" t="s">
        <v>198</v>
      </c>
      <c r="B31" s="27">
        <f>($B$28+$B$29+$B$30)*'Rule tables'!$B$34</f>
        <v>9489.3000000000011</v>
      </c>
      <c r="C31" s="10" t="s">
        <v>194</v>
      </c>
      <c r="D31" s="11" t="s">
        <v>199</v>
      </c>
      <c r="E31" s="12"/>
    </row>
    <row r="32" spans="1:5" x14ac:dyDescent="0.3">
      <c r="A32" s="8" t="s">
        <v>200</v>
      </c>
      <c r="B32" s="22">
        <f>INDEX('Rule tables'!$B$23:$B$30,MATCH($B$26,'Rule tables'!$A$23:$A$30,0))</f>
        <v>1</v>
      </c>
      <c r="C32" s="10"/>
      <c r="D32" s="11"/>
      <c r="E32" s="12"/>
    </row>
    <row r="33" spans="1:5" x14ac:dyDescent="0.3">
      <c r="A33" s="8" t="s">
        <v>180</v>
      </c>
      <c r="B33" s="23">
        <f>$B$31*$B$32</f>
        <v>9489.3000000000011</v>
      </c>
      <c r="C33" s="10" t="s">
        <v>181</v>
      </c>
      <c r="D33" s="11"/>
      <c r="E33" s="12"/>
    </row>
    <row r="34" spans="1:5" x14ac:dyDescent="0.3">
      <c r="A34" s="24" t="s">
        <v>183</v>
      </c>
      <c r="B34" s="25">
        <f>$B$33*Assumptions!$B$7</f>
        <v>806590.50000000012</v>
      </c>
      <c r="C34" s="10" t="s">
        <v>184</v>
      </c>
      <c r="D34" s="11"/>
      <c r="E34" s="12"/>
    </row>
    <row r="35" spans="1:5" ht="30" customHeight="1" x14ac:dyDescent="0.3">
      <c r="A35" s="55" t="s">
        <v>201</v>
      </c>
      <c r="B35" s="54"/>
      <c r="C35" s="54"/>
      <c r="D35" s="54"/>
      <c r="E35" s="54"/>
    </row>
  </sheetData>
  <mergeCells count="2">
    <mergeCell ref="A2:E2"/>
    <mergeCell ref="A35:E3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202</v>
      </c>
    </row>
    <row r="2" spans="1:5" ht="30" customHeight="1" x14ac:dyDescent="0.3">
      <c r="A2" s="53" t="s">
        <v>203</v>
      </c>
      <c r="B2" s="54"/>
      <c r="C2" s="54"/>
      <c r="D2" s="54"/>
      <c r="E2" s="54"/>
    </row>
    <row r="5" spans="1:5" x14ac:dyDescent="0.3">
      <c r="A5" s="5" t="s">
        <v>204</v>
      </c>
      <c r="B5" s="6"/>
      <c r="C5" s="6"/>
      <c r="D5" s="6"/>
      <c r="E5" s="6"/>
    </row>
    <row r="6" spans="1:5" x14ac:dyDescent="0.3">
      <c r="A6" s="7" t="s">
        <v>18</v>
      </c>
      <c r="B6" s="7" t="s">
        <v>19</v>
      </c>
      <c r="C6" s="7" t="s">
        <v>20</v>
      </c>
      <c r="D6" s="7" t="s">
        <v>21</v>
      </c>
      <c r="E6" s="7" t="s">
        <v>22</v>
      </c>
    </row>
    <row r="7" spans="1:5" x14ac:dyDescent="0.3">
      <c r="A7" s="8" t="s">
        <v>205</v>
      </c>
      <c r="B7" s="16">
        <v>2026</v>
      </c>
      <c r="C7" s="10"/>
      <c r="D7" s="11"/>
      <c r="E7" s="12"/>
    </row>
    <row r="8" spans="1:5" x14ac:dyDescent="0.3">
      <c r="A8" s="8" t="s">
        <v>206</v>
      </c>
      <c r="B8" s="18">
        <v>3000</v>
      </c>
      <c r="C8" s="10" t="s">
        <v>159</v>
      </c>
      <c r="D8" s="11" t="s">
        <v>207</v>
      </c>
      <c r="E8" s="12" t="s">
        <v>189</v>
      </c>
    </row>
    <row r="9" spans="1:5" x14ac:dyDescent="0.3">
      <c r="A9" s="8" t="s">
        <v>208</v>
      </c>
      <c r="B9" s="28">
        <f>$B$8*'Rule tables'!$B$49</f>
        <v>121500000</v>
      </c>
      <c r="C9" s="10" t="s">
        <v>104</v>
      </c>
      <c r="D9" s="11" t="s">
        <v>209</v>
      </c>
      <c r="E9" s="12"/>
    </row>
    <row r="10" spans="1:5" x14ac:dyDescent="0.3">
      <c r="A10" s="8" t="s">
        <v>210</v>
      </c>
      <c r="B10" s="29">
        <f>'Rule tables'!$B$50</f>
        <v>91.74</v>
      </c>
      <c r="C10" s="10" t="s">
        <v>85</v>
      </c>
      <c r="D10" s="11" t="s">
        <v>211</v>
      </c>
      <c r="E10" s="12"/>
    </row>
    <row r="11" spans="1:5" x14ac:dyDescent="0.3">
      <c r="A11" s="8" t="s">
        <v>212</v>
      </c>
      <c r="B11" s="22">
        <f>INDEX('Rule tables'!$B$42:$B$48,MATCH($B$7,'Rule tables'!$A$42:$A$48,0))</f>
        <v>0.02</v>
      </c>
      <c r="C11" s="10"/>
      <c r="D11" s="11"/>
      <c r="E11" s="12"/>
    </row>
    <row r="12" spans="1:5" x14ac:dyDescent="0.3">
      <c r="A12" s="8" t="s">
        <v>213</v>
      </c>
      <c r="B12" s="21">
        <f>'Rule tables'!$B$41*(1-$B$11)</f>
        <v>89.336799999999997</v>
      </c>
      <c r="C12" s="10" t="s">
        <v>85</v>
      </c>
      <c r="D12" s="11" t="s">
        <v>214</v>
      </c>
      <c r="E12" s="12"/>
    </row>
    <row r="13" spans="1:5" x14ac:dyDescent="0.3">
      <c r="A13" s="8" t="s">
        <v>215</v>
      </c>
      <c r="B13" s="30">
        <f>($B$12-$B$10)*$B$9</f>
        <v>-291988799.99999976</v>
      </c>
      <c r="C13" s="10" t="s">
        <v>216</v>
      </c>
      <c r="D13" s="11" t="s">
        <v>217</v>
      </c>
      <c r="E13" s="12" t="s">
        <v>218</v>
      </c>
    </row>
    <row r="14" spans="1:5" x14ac:dyDescent="0.3">
      <c r="A14" s="8" t="s">
        <v>215</v>
      </c>
      <c r="B14" s="23">
        <f>$B$13/1000000</f>
        <v>-291.98879999999974</v>
      </c>
      <c r="C14" s="10" t="s">
        <v>194</v>
      </c>
      <c r="D14" s="11"/>
      <c r="E14" s="12"/>
    </row>
    <row r="15" spans="1:5" x14ac:dyDescent="0.3">
      <c r="A15" s="8" t="s">
        <v>219</v>
      </c>
      <c r="B15" s="31">
        <f>1000000/($B$10*'Rule tables'!$B$52)*'Rule tables'!$B$51</f>
        <v>638.07047488395096</v>
      </c>
      <c r="C15" s="10" t="s">
        <v>36</v>
      </c>
      <c r="D15" s="11" t="s">
        <v>220</v>
      </c>
      <c r="E15" s="12"/>
    </row>
    <row r="16" spans="1:5" x14ac:dyDescent="0.3">
      <c r="A16" s="8" t="s">
        <v>221</v>
      </c>
      <c r="B16" s="32">
        <f>1+(Assumptions!$B$11-1)/10</f>
        <v>1</v>
      </c>
      <c r="C16" s="10" t="s">
        <v>222</v>
      </c>
      <c r="D16" s="11" t="s">
        <v>223</v>
      </c>
      <c r="E16" s="12" t="s">
        <v>224</v>
      </c>
    </row>
    <row r="17" spans="1:5" x14ac:dyDescent="0.3">
      <c r="A17" s="24" t="s">
        <v>225</v>
      </c>
      <c r="B17" s="33">
        <f>IF($B$13&lt;0,ABS($B$13)/($B$10*'Rule tables'!$B$52)*'Rule tables'!$B$51*$B$16,0)</f>
        <v>186309.4322767948</v>
      </c>
      <c r="C17" s="10" t="s">
        <v>184</v>
      </c>
      <c r="D17" s="11" t="s">
        <v>226</v>
      </c>
      <c r="E17" s="12" t="s">
        <v>227</v>
      </c>
    </row>
    <row r="18" spans="1:5" x14ac:dyDescent="0.3">
      <c r="A18" s="24" t="s">
        <v>228</v>
      </c>
      <c r="B18" s="33">
        <f>IF($B$14&lt;0,ABS($B$14)*Assumptions!$B$10,0)</f>
        <v>32118.767999999971</v>
      </c>
      <c r="C18" s="10" t="s">
        <v>184</v>
      </c>
      <c r="D18" s="11" t="s">
        <v>229</v>
      </c>
      <c r="E18" s="12" t="s">
        <v>230</v>
      </c>
    </row>
    <row r="19" spans="1:5" x14ac:dyDescent="0.3">
      <c r="A19" s="8" t="s">
        <v>231</v>
      </c>
      <c r="B19" s="34">
        <f>$B$17-$B$18</f>
        <v>154190.66427679482</v>
      </c>
      <c r="C19" s="10" t="s">
        <v>184</v>
      </c>
      <c r="D19" s="11"/>
      <c r="E19" s="12"/>
    </row>
    <row r="21" spans="1:5" x14ac:dyDescent="0.3">
      <c r="A21" s="5" t="s">
        <v>232</v>
      </c>
      <c r="B21" s="6"/>
      <c r="C21" s="6"/>
      <c r="D21" s="6"/>
      <c r="E21" s="6"/>
    </row>
    <row r="22" spans="1:5" x14ac:dyDescent="0.3">
      <c r="A22" s="7" t="s">
        <v>18</v>
      </c>
      <c r="B22" s="7" t="s">
        <v>19</v>
      </c>
      <c r="C22" s="7" t="s">
        <v>20</v>
      </c>
      <c r="D22" s="7" t="s">
        <v>21</v>
      </c>
      <c r="E22" s="7" t="s">
        <v>22</v>
      </c>
    </row>
    <row r="23" spans="1:5" x14ac:dyDescent="0.3">
      <c r="A23" s="8" t="s">
        <v>205</v>
      </c>
      <c r="B23" s="16">
        <v>2025</v>
      </c>
      <c r="C23" s="10"/>
      <c r="D23" s="11"/>
      <c r="E23" s="12"/>
    </row>
    <row r="24" spans="1:5" ht="22.8" x14ac:dyDescent="0.3">
      <c r="A24" s="8" t="s">
        <v>206</v>
      </c>
      <c r="B24" s="27">
        <f>('EU ETS'!$B$8*'Rule tables'!$B$34+('EU ETS'!$B$9+'EU ETS'!$B$10)*'Rule tables'!$B$35+'EU ETS'!$B$11*'Rule tables'!$B$36)/'Rule tables'!$B$7</f>
        <v>2379.2450674373795</v>
      </c>
      <c r="C24" s="10" t="s">
        <v>159</v>
      </c>
      <c r="D24" s="11" t="s">
        <v>233</v>
      </c>
      <c r="E24" s="12" t="s">
        <v>234</v>
      </c>
    </row>
    <row r="25" spans="1:5" x14ac:dyDescent="0.3">
      <c r="A25" s="8" t="s">
        <v>208</v>
      </c>
      <c r="B25" s="28">
        <f>$B$24*'Rule tables'!$B$49</f>
        <v>96359425.231213868</v>
      </c>
      <c r="C25" s="10" t="s">
        <v>104</v>
      </c>
      <c r="D25" s="11" t="s">
        <v>209</v>
      </c>
      <c r="E25" s="12"/>
    </row>
    <row r="26" spans="1:5" x14ac:dyDescent="0.3">
      <c r="A26" s="8" t="s">
        <v>210</v>
      </c>
      <c r="B26" s="29">
        <f>'Rule tables'!$B$50</f>
        <v>91.74</v>
      </c>
      <c r="C26" s="10" t="s">
        <v>85</v>
      </c>
      <c r="D26" s="11" t="s">
        <v>211</v>
      </c>
      <c r="E26" s="12"/>
    </row>
    <row r="27" spans="1:5" x14ac:dyDescent="0.3">
      <c r="A27" s="8" t="s">
        <v>212</v>
      </c>
      <c r="B27" s="22">
        <f>INDEX('Rule tables'!$B$42:$B$48,MATCH($B$23,'Rule tables'!$A$42:$A$48,0))</f>
        <v>0.02</v>
      </c>
      <c r="C27" s="10"/>
      <c r="D27" s="11"/>
      <c r="E27" s="12"/>
    </row>
    <row r="28" spans="1:5" x14ac:dyDescent="0.3">
      <c r="A28" s="8" t="s">
        <v>213</v>
      </c>
      <c r="B28" s="21">
        <f>'Rule tables'!$B$41*(1-$B$27)</f>
        <v>89.336799999999997</v>
      </c>
      <c r="C28" s="10" t="s">
        <v>85</v>
      </c>
      <c r="D28" s="11" t="s">
        <v>214</v>
      </c>
      <c r="E28" s="12"/>
    </row>
    <row r="29" spans="1:5" x14ac:dyDescent="0.3">
      <c r="A29" s="8" t="s">
        <v>215</v>
      </c>
      <c r="B29" s="30">
        <f>($B$28-$B$26)*$B$25</f>
        <v>-231570970.715653</v>
      </c>
      <c r="C29" s="10" t="s">
        <v>216</v>
      </c>
      <c r="D29" s="11" t="s">
        <v>217</v>
      </c>
      <c r="E29" s="12" t="s">
        <v>218</v>
      </c>
    </row>
    <row r="30" spans="1:5" x14ac:dyDescent="0.3">
      <c r="A30" s="8" t="s">
        <v>215</v>
      </c>
      <c r="B30" s="23">
        <f>$B$29/1000000</f>
        <v>-231.570970715653</v>
      </c>
      <c r="C30" s="10" t="s">
        <v>194</v>
      </c>
      <c r="D30" s="11"/>
      <c r="E30" s="12"/>
    </row>
    <row r="31" spans="1:5" x14ac:dyDescent="0.3">
      <c r="A31" s="8" t="s">
        <v>219</v>
      </c>
      <c r="B31" s="31">
        <f>1000000/($B$26*'Rule tables'!$B$52)*'Rule tables'!$B$51</f>
        <v>638.07047488395096</v>
      </c>
      <c r="C31" s="10" t="s">
        <v>36</v>
      </c>
      <c r="D31" s="11" t="s">
        <v>220</v>
      </c>
      <c r="E31" s="12"/>
    </row>
    <row r="32" spans="1:5" x14ac:dyDescent="0.3">
      <c r="A32" s="8" t="s">
        <v>221</v>
      </c>
      <c r="B32" s="32">
        <f>1+(Assumptions!$B$11-1)/10</f>
        <v>1</v>
      </c>
      <c r="C32" s="10" t="s">
        <v>222</v>
      </c>
      <c r="D32" s="11" t="s">
        <v>223</v>
      </c>
      <c r="E32" s="12" t="s">
        <v>224</v>
      </c>
    </row>
    <row r="33" spans="1:5" x14ac:dyDescent="0.3">
      <c r="A33" s="24" t="s">
        <v>225</v>
      </c>
      <c r="B33" s="33">
        <f>IF($B$29&lt;0,ABS($B$29)/($B$26*'Rule tables'!$B$52)*'Rule tables'!$B$51*$B$32,0)</f>
        <v>147758.59925387421</v>
      </c>
      <c r="C33" s="10" t="s">
        <v>184</v>
      </c>
      <c r="D33" s="11" t="s">
        <v>226</v>
      </c>
      <c r="E33" s="12" t="s">
        <v>227</v>
      </c>
    </row>
    <row r="34" spans="1:5" x14ac:dyDescent="0.3">
      <c r="A34" s="24" t="s">
        <v>228</v>
      </c>
      <c r="B34" s="33">
        <f>IF($B$30&lt;0,ABS($B$30)*Assumptions!$B$10,0)</f>
        <v>25472.806778721832</v>
      </c>
      <c r="C34" s="10" t="s">
        <v>184</v>
      </c>
      <c r="D34" s="11" t="s">
        <v>229</v>
      </c>
      <c r="E34" s="12" t="s">
        <v>230</v>
      </c>
    </row>
    <row r="35" spans="1:5" x14ac:dyDescent="0.3">
      <c r="A35" s="8" t="s">
        <v>231</v>
      </c>
      <c r="B35" s="34">
        <f>$B$33-$B$34</f>
        <v>122285.79247515238</v>
      </c>
      <c r="C35" s="10" t="s">
        <v>184</v>
      </c>
      <c r="D35" s="11"/>
      <c r="E35" s="12"/>
    </row>
    <row r="36" spans="1:5" ht="30" customHeight="1" x14ac:dyDescent="0.3">
      <c r="A36" s="55" t="s">
        <v>235</v>
      </c>
      <c r="B36" s="54"/>
      <c r="C36" s="54"/>
      <c r="D36" s="54"/>
      <c r="E36" s="54"/>
    </row>
  </sheetData>
  <mergeCells count="2">
    <mergeCell ref="A2:E2"/>
    <mergeCell ref="A36:E36"/>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49"/>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236</v>
      </c>
    </row>
    <row r="2" spans="1:5" ht="30" customHeight="1" x14ac:dyDescent="0.3">
      <c r="A2" s="53" t="s">
        <v>237</v>
      </c>
      <c r="B2" s="54"/>
      <c r="C2" s="54"/>
      <c r="D2" s="54"/>
      <c r="E2" s="54"/>
    </row>
    <row r="5" spans="1:5" x14ac:dyDescent="0.3">
      <c r="A5" s="5" t="s">
        <v>238</v>
      </c>
      <c r="B5" s="6"/>
      <c r="C5" s="6"/>
      <c r="D5" s="6"/>
      <c r="E5" s="6"/>
    </row>
    <row r="6" spans="1:5" x14ac:dyDescent="0.3">
      <c r="A6" s="7" t="s">
        <v>18</v>
      </c>
      <c r="B6" s="7" t="s">
        <v>19</v>
      </c>
      <c r="C6" s="7" t="s">
        <v>20</v>
      </c>
      <c r="D6" s="7" t="s">
        <v>21</v>
      </c>
      <c r="E6" s="7" t="s">
        <v>22</v>
      </c>
    </row>
    <row r="7" spans="1:5" x14ac:dyDescent="0.3">
      <c r="A7" s="8" t="s">
        <v>205</v>
      </c>
      <c r="B7" s="16">
        <v>2026</v>
      </c>
      <c r="C7" s="10"/>
      <c r="D7" s="11"/>
      <c r="E7" s="12"/>
    </row>
    <row r="8" spans="1:5" x14ac:dyDescent="0.3">
      <c r="A8" s="8" t="s">
        <v>239</v>
      </c>
      <c r="B8" s="23">
        <f>'Rule tables'!$B$7*3000</f>
        <v>9342</v>
      </c>
      <c r="C8" s="10" t="s">
        <v>159</v>
      </c>
      <c r="D8" s="11" t="s">
        <v>240</v>
      </c>
      <c r="E8" s="12"/>
    </row>
    <row r="9" spans="1:5" x14ac:dyDescent="0.3">
      <c r="A9" s="8" t="s">
        <v>241</v>
      </c>
      <c r="B9" s="14">
        <v>50000</v>
      </c>
      <c r="C9" s="10" t="s">
        <v>242</v>
      </c>
      <c r="D9" s="11" t="s">
        <v>243</v>
      </c>
      <c r="E9" s="12" t="s">
        <v>244</v>
      </c>
    </row>
    <row r="10" spans="1:5" x14ac:dyDescent="0.3">
      <c r="A10" s="8" t="s">
        <v>245</v>
      </c>
      <c r="B10" s="14">
        <v>50000</v>
      </c>
      <c r="C10" s="10" t="s">
        <v>246</v>
      </c>
      <c r="D10" s="11" t="s">
        <v>247</v>
      </c>
      <c r="E10" s="12"/>
    </row>
    <row r="11" spans="1:5" ht="26.4" x14ac:dyDescent="0.3">
      <c r="A11" s="24" t="s">
        <v>248</v>
      </c>
      <c r="B11" s="35">
        <f>$B$8*1000000/($B$9*$B$10)</f>
        <v>3.7368000000000001</v>
      </c>
      <c r="C11" s="10" t="s">
        <v>249</v>
      </c>
      <c r="D11" s="11" t="s">
        <v>250</v>
      </c>
      <c r="E11" s="12" t="s">
        <v>251</v>
      </c>
    </row>
    <row r="12" spans="1:5" ht="26.4" x14ac:dyDescent="0.3">
      <c r="A12" s="8" t="s">
        <v>252</v>
      </c>
      <c r="B12" s="32">
        <f>'Rule tables'!$B$56*$B$9^(-'Rule tables'!$B$57)</f>
        <v>5.6686138567372808</v>
      </c>
      <c r="C12" s="10" t="s">
        <v>249</v>
      </c>
      <c r="D12" s="11" t="s">
        <v>253</v>
      </c>
      <c r="E12" s="12" t="s">
        <v>254</v>
      </c>
    </row>
    <row r="13" spans="1:5" x14ac:dyDescent="0.3">
      <c r="A13" s="8" t="s">
        <v>255</v>
      </c>
      <c r="B13" s="22">
        <f>INDEX('Rule tables'!$B$68:$B$75,MATCH($B$7,'Rule tables'!$A$68:$A$75,0))</f>
        <v>0.11</v>
      </c>
      <c r="C13" s="10"/>
      <c r="D13" s="11"/>
      <c r="E13" s="12" t="s">
        <v>256</v>
      </c>
    </row>
    <row r="14" spans="1:5" ht="26.4" x14ac:dyDescent="0.3">
      <c r="A14" s="8" t="s">
        <v>257</v>
      </c>
      <c r="B14" s="32">
        <f>$B$12*(1-$B$13)</f>
        <v>5.0450663324961802</v>
      </c>
      <c r="C14" s="10" t="s">
        <v>249</v>
      </c>
      <c r="D14" s="11" t="s">
        <v>258</v>
      </c>
      <c r="E14" s="12"/>
    </row>
    <row r="15" spans="1:5" x14ac:dyDescent="0.3">
      <c r="A15" s="8" t="s">
        <v>259</v>
      </c>
      <c r="B15" s="32">
        <f>$B$11/$B$14</f>
        <v>0.74068401755802471</v>
      </c>
      <c r="C15" s="10"/>
      <c r="D15" s="11"/>
      <c r="E15" s="12"/>
    </row>
    <row r="16" spans="1:5" ht="26.4" x14ac:dyDescent="0.3">
      <c r="A16" s="8" t="s">
        <v>260</v>
      </c>
      <c r="B16" s="32">
        <f>'Rule tables'!$B$60*$B$14</f>
        <v>4.3387570459467151</v>
      </c>
      <c r="C16" s="10" t="s">
        <v>249</v>
      </c>
      <c r="D16" s="11" t="s">
        <v>261</v>
      </c>
      <c r="E16" s="12" t="s">
        <v>262</v>
      </c>
    </row>
    <row r="17" spans="1:5" ht="26.4" x14ac:dyDescent="0.3">
      <c r="A17" s="8" t="s">
        <v>263</v>
      </c>
      <c r="B17" s="32">
        <f>'Rule tables'!$B$61*$B$14</f>
        <v>4.7423623525464089</v>
      </c>
      <c r="C17" s="10" t="s">
        <v>249</v>
      </c>
      <c r="D17" s="11" t="s">
        <v>264</v>
      </c>
      <c r="E17" s="12" t="s">
        <v>262</v>
      </c>
    </row>
    <row r="18" spans="1:5" ht="26.4" x14ac:dyDescent="0.3">
      <c r="A18" s="8" t="s">
        <v>265</v>
      </c>
      <c r="B18" s="32">
        <f>'Rule tables'!$B$62*$B$14</f>
        <v>5.3477703124459515</v>
      </c>
      <c r="C18" s="10" t="s">
        <v>249</v>
      </c>
      <c r="D18" s="11" t="s">
        <v>266</v>
      </c>
      <c r="E18" s="12" t="s">
        <v>262</v>
      </c>
    </row>
    <row r="19" spans="1:5" ht="26.4" x14ac:dyDescent="0.3">
      <c r="A19" s="8" t="s">
        <v>267</v>
      </c>
      <c r="B19" s="32">
        <f>'Rule tables'!$B$63*$B$14</f>
        <v>5.9531782723454922</v>
      </c>
      <c r="C19" s="10" t="s">
        <v>249</v>
      </c>
      <c r="D19" s="11" t="s">
        <v>268</v>
      </c>
      <c r="E19" s="12" t="s">
        <v>262</v>
      </c>
    </row>
    <row r="20" spans="1:5" x14ac:dyDescent="0.3">
      <c r="A20" s="24" t="s">
        <v>269</v>
      </c>
      <c r="B20" s="36" t="str">
        <f>IF($B$15&lt;='Rule tables'!$B$60,"A",IF($B$15&lt;='Rule tables'!$B$61,"B",IF($B$15&lt;='Rule tables'!$B$62,"C",IF($B$15&lt;='Rule tables'!$B$63,"D","E"))))</f>
        <v>A</v>
      </c>
      <c r="C20" s="10"/>
      <c r="D20" s="11" t="s">
        <v>270</v>
      </c>
      <c r="E20" s="12"/>
    </row>
    <row r="22" spans="1:5" x14ac:dyDescent="0.3">
      <c r="A22" s="5" t="s">
        <v>271</v>
      </c>
      <c r="B22" s="6"/>
      <c r="C22" s="6"/>
      <c r="D22" s="6"/>
      <c r="E22" s="6"/>
    </row>
    <row r="23" spans="1:5" x14ac:dyDescent="0.3">
      <c r="A23" s="7" t="s">
        <v>18</v>
      </c>
      <c r="B23" s="7" t="s">
        <v>19</v>
      </c>
      <c r="C23" s="7" t="s">
        <v>20</v>
      </c>
      <c r="D23" s="7" t="s">
        <v>21</v>
      </c>
      <c r="E23" s="7" t="s">
        <v>22</v>
      </c>
    </row>
    <row r="24" spans="1:5" x14ac:dyDescent="0.3">
      <c r="A24" s="8" t="s">
        <v>205</v>
      </c>
      <c r="B24" s="16">
        <v>2025</v>
      </c>
      <c r="C24" s="10"/>
      <c r="D24" s="11"/>
      <c r="E24" s="12"/>
    </row>
    <row r="25" spans="1:5" x14ac:dyDescent="0.3">
      <c r="A25" s="8" t="s">
        <v>239</v>
      </c>
      <c r="B25" s="27">
        <f>'EU ETS'!$B$8+'EU ETS'!$B$9+'EU ETS'!$B$10+'EU ETS'!$B$11</f>
        <v>13829.152339999999</v>
      </c>
      <c r="C25" s="10" t="s">
        <v>159</v>
      </c>
      <c r="D25" s="11" t="s">
        <v>240</v>
      </c>
      <c r="E25" s="12"/>
    </row>
    <row r="26" spans="1:5" x14ac:dyDescent="0.3">
      <c r="A26" s="8" t="s">
        <v>241</v>
      </c>
      <c r="B26" s="14">
        <v>93000</v>
      </c>
      <c r="C26" s="10" t="s">
        <v>242</v>
      </c>
      <c r="D26" s="11" t="s">
        <v>243</v>
      </c>
      <c r="E26" s="12" t="s">
        <v>244</v>
      </c>
    </row>
    <row r="27" spans="1:5" x14ac:dyDescent="0.3">
      <c r="A27" s="8" t="s">
        <v>245</v>
      </c>
      <c r="B27" s="14">
        <v>32515.464813900449</v>
      </c>
      <c r="C27" s="10" t="s">
        <v>246</v>
      </c>
      <c r="D27" s="11" t="s">
        <v>247</v>
      </c>
      <c r="E27" s="12"/>
    </row>
    <row r="28" spans="1:5" ht="26.4" x14ac:dyDescent="0.3">
      <c r="A28" s="24" t="s">
        <v>248</v>
      </c>
      <c r="B28" s="35">
        <f>$B$25*1000000/($B$26*$B$27)</f>
        <v>4.573225806451612</v>
      </c>
      <c r="C28" s="10" t="s">
        <v>249</v>
      </c>
      <c r="D28" s="11" t="s">
        <v>250</v>
      </c>
      <c r="E28" s="12" t="s">
        <v>251</v>
      </c>
    </row>
    <row r="29" spans="1:5" ht="26.4" x14ac:dyDescent="0.3">
      <c r="A29" s="8" t="s">
        <v>252</v>
      </c>
      <c r="B29" s="32">
        <f>'Rule tables'!$B$56*$B$26^(-'Rule tables'!$B$57)</f>
        <v>3.8533621109036029</v>
      </c>
      <c r="C29" s="10" t="s">
        <v>249</v>
      </c>
      <c r="D29" s="11" t="s">
        <v>253</v>
      </c>
      <c r="E29" s="12" t="s">
        <v>254</v>
      </c>
    </row>
    <row r="30" spans="1:5" x14ac:dyDescent="0.3">
      <c r="A30" s="8" t="s">
        <v>255</v>
      </c>
      <c r="B30" s="22">
        <f>INDEX('Rule tables'!$B$68:$B$75,MATCH($B$24,'Rule tables'!$A$68:$A$75,0))</f>
        <v>0.09</v>
      </c>
      <c r="C30" s="10"/>
      <c r="D30" s="11"/>
      <c r="E30" s="12" t="s">
        <v>256</v>
      </c>
    </row>
    <row r="31" spans="1:5" ht="26.4" x14ac:dyDescent="0.3">
      <c r="A31" s="8" t="s">
        <v>257</v>
      </c>
      <c r="B31" s="32">
        <f>$B$29*(1-$B$30)</f>
        <v>3.5065595209222788</v>
      </c>
      <c r="C31" s="10" t="s">
        <v>249</v>
      </c>
      <c r="D31" s="11" t="s">
        <v>258</v>
      </c>
      <c r="E31" s="12"/>
    </row>
    <row r="32" spans="1:5" x14ac:dyDescent="0.3">
      <c r="A32" s="8" t="s">
        <v>259</v>
      </c>
      <c r="B32" s="32">
        <f>$B$28/$B$31</f>
        <v>1.3041916953540784</v>
      </c>
      <c r="C32" s="10"/>
      <c r="D32" s="11"/>
      <c r="E32" s="12"/>
    </row>
    <row r="33" spans="1:5" ht="26.4" x14ac:dyDescent="0.3">
      <c r="A33" s="8" t="s">
        <v>260</v>
      </c>
      <c r="B33" s="32">
        <f>'Rule tables'!$B$60*$B$31</f>
        <v>3.0156411879931597</v>
      </c>
      <c r="C33" s="10" t="s">
        <v>249</v>
      </c>
      <c r="D33" s="11" t="s">
        <v>261</v>
      </c>
      <c r="E33" s="12" t="s">
        <v>262</v>
      </c>
    </row>
    <row r="34" spans="1:5" ht="26.4" x14ac:dyDescent="0.3">
      <c r="A34" s="8" t="s">
        <v>263</v>
      </c>
      <c r="B34" s="32">
        <f>'Rule tables'!$B$61*$B$31</f>
        <v>3.2961659496669418</v>
      </c>
      <c r="C34" s="10" t="s">
        <v>249</v>
      </c>
      <c r="D34" s="11" t="s">
        <v>264</v>
      </c>
      <c r="E34" s="12" t="s">
        <v>262</v>
      </c>
    </row>
    <row r="35" spans="1:5" ht="26.4" x14ac:dyDescent="0.3">
      <c r="A35" s="8" t="s">
        <v>265</v>
      </c>
      <c r="B35" s="32">
        <f>'Rule tables'!$B$62*$B$31</f>
        <v>3.7169530921776159</v>
      </c>
      <c r="C35" s="10" t="s">
        <v>249</v>
      </c>
      <c r="D35" s="11" t="s">
        <v>266</v>
      </c>
      <c r="E35" s="12" t="s">
        <v>262</v>
      </c>
    </row>
    <row r="36" spans="1:5" ht="26.4" x14ac:dyDescent="0.3">
      <c r="A36" s="8" t="s">
        <v>267</v>
      </c>
      <c r="B36" s="32">
        <f>'Rule tables'!$B$63*$B$31</f>
        <v>4.1377402346882892</v>
      </c>
      <c r="C36" s="10" t="s">
        <v>249</v>
      </c>
      <c r="D36" s="11" t="s">
        <v>268</v>
      </c>
      <c r="E36" s="12" t="s">
        <v>262</v>
      </c>
    </row>
    <row r="37" spans="1:5" x14ac:dyDescent="0.3">
      <c r="A37" s="24" t="s">
        <v>269</v>
      </c>
      <c r="B37" s="36" t="str">
        <f>IF($B$32&lt;='Rule tables'!$B$60,"A",IF($B$32&lt;='Rule tables'!$B$61,"B",IF($B$32&lt;='Rule tables'!$B$62,"C",IF($B$32&lt;='Rule tables'!$B$63,"D","E"))))</f>
        <v>E</v>
      </c>
      <c r="C37" s="10"/>
      <c r="D37" s="11" t="s">
        <v>270</v>
      </c>
      <c r="E37" s="12"/>
    </row>
    <row r="39" spans="1:5" x14ac:dyDescent="0.3">
      <c r="A39" s="5" t="s">
        <v>272</v>
      </c>
      <c r="B39" s="6"/>
      <c r="C39" s="6"/>
      <c r="D39" s="6"/>
      <c r="E39" s="6"/>
    </row>
    <row r="40" spans="1:5" x14ac:dyDescent="0.3">
      <c r="A40" s="7" t="s">
        <v>18</v>
      </c>
      <c r="B40" s="7" t="s">
        <v>19</v>
      </c>
      <c r="C40" s="7" t="s">
        <v>20</v>
      </c>
      <c r="D40" s="7" t="s">
        <v>21</v>
      </c>
      <c r="E40" s="7" t="s">
        <v>22</v>
      </c>
    </row>
    <row r="41" spans="1:5" x14ac:dyDescent="0.3">
      <c r="A41" s="8" t="s">
        <v>273</v>
      </c>
      <c r="B41" s="20" t="str">
        <f>IF($B$11/($B$12*(1-'Rule tables'!$B$68))&lt;='Rule tables'!$B$60,"A",IF($B$11/($B$12*(1-'Rule tables'!$B$68))&lt;='Rule tables'!$B$61,"B",IF($B$11/($B$12*(1-'Rule tables'!$B$68))&lt;='Rule tables'!$B$62,"C",IF($B$11/($B$12*(1-'Rule tables'!$B$68))&lt;='Rule tables'!$B$63,"D","E"))))</f>
        <v>A</v>
      </c>
      <c r="C41" s="10"/>
      <c r="D41" s="11" t="s">
        <v>274</v>
      </c>
      <c r="E41" s="12"/>
    </row>
    <row r="42" spans="1:5" x14ac:dyDescent="0.3">
      <c r="A42" s="8" t="s">
        <v>275</v>
      </c>
      <c r="B42" s="20" t="str">
        <f>IF($B$11/($B$12*(1-'Rule tables'!$B$69))&lt;='Rule tables'!$B$60,"A",IF($B$11/($B$12*(1-'Rule tables'!$B$69))&lt;='Rule tables'!$B$61,"B",IF($B$11/($B$12*(1-'Rule tables'!$B$69))&lt;='Rule tables'!$B$62,"C",IF($B$11/($B$12*(1-'Rule tables'!$B$69))&lt;='Rule tables'!$B$63,"D","E"))))</f>
        <v>A</v>
      </c>
      <c r="C42" s="10"/>
      <c r="D42" s="11" t="s">
        <v>276</v>
      </c>
      <c r="E42" s="12"/>
    </row>
    <row r="43" spans="1:5" x14ac:dyDescent="0.3">
      <c r="A43" s="8" t="s">
        <v>277</v>
      </c>
      <c r="B43" s="20" t="str">
        <f>IF($B$11/($B$12*(1-'Rule tables'!$B$70))&lt;='Rule tables'!$B$60,"A",IF($B$11/($B$12*(1-'Rule tables'!$B$70))&lt;='Rule tables'!$B$61,"B",IF($B$11/($B$12*(1-'Rule tables'!$B$70))&lt;='Rule tables'!$B$62,"C",IF($B$11/($B$12*(1-'Rule tables'!$B$70))&lt;='Rule tables'!$B$63,"D","E"))))</f>
        <v>A</v>
      </c>
      <c r="C43" s="10"/>
      <c r="D43" s="11" t="s">
        <v>278</v>
      </c>
      <c r="E43" s="12"/>
    </row>
    <row r="44" spans="1:5" x14ac:dyDescent="0.3">
      <c r="A44" s="8" t="s">
        <v>279</v>
      </c>
      <c r="B44" s="20" t="str">
        <f>IF($B$11/($B$12*(1-'Rule tables'!$B$71))&lt;='Rule tables'!$B$60,"A",IF($B$11/($B$12*(1-'Rule tables'!$B$71))&lt;='Rule tables'!$B$61,"B",IF($B$11/($B$12*(1-'Rule tables'!$B$71))&lt;='Rule tables'!$B$62,"C",IF($B$11/($B$12*(1-'Rule tables'!$B$71))&lt;='Rule tables'!$B$63,"D","E"))))</f>
        <v>A</v>
      </c>
      <c r="C44" s="10"/>
      <c r="D44" s="11" t="s">
        <v>280</v>
      </c>
      <c r="E44" s="12"/>
    </row>
    <row r="45" spans="1:5" x14ac:dyDescent="0.3">
      <c r="A45" s="8" t="s">
        <v>281</v>
      </c>
      <c r="B45" s="20" t="str">
        <f>IF($B$11/($B$12*(1-'Rule tables'!$B$72))&lt;='Rule tables'!$B$60,"A",IF($B$11/($B$12*(1-'Rule tables'!$B$72))&lt;='Rule tables'!$B$61,"B",IF($B$11/($B$12*(1-'Rule tables'!$B$72))&lt;='Rule tables'!$B$62,"C",IF($B$11/($B$12*(1-'Rule tables'!$B$72))&lt;='Rule tables'!$B$63,"D","E"))))</f>
        <v>A</v>
      </c>
      <c r="C45" s="10"/>
      <c r="D45" s="11" t="s">
        <v>282</v>
      </c>
      <c r="E45" s="12"/>
    </row>
    <row r="46" spans="1:5" x14ac:dyDescent="0.3">
      <c r="A46" s="8" t="s">
        <v>283</v>
      </c>
      <c r="B46" s="20" t="str">
        <f>IF($B$11/($B$12*(1-'Rule tables'!$B$73))&lt;='Rule tables'!$B$60,"A",IF($B$11/($B$12*(1-'Rule tables'!$B$73))&lt;='Rule tables'!$B$61,"B",IF($B$11/($B$12*(1-'Rule tables'!$B$73))&lt;='Rule tables'!$B$62,"C",IF($B$11/($B$12*(1-'Rule tables'!$B$73))&lt;='Rule tables'!$B$63,"D","E"))))</f>
        <v>A</v>
      </c>
      <c r="C46" s="10"/>
      <c r="D46" s="11" t="s">
        <v>284</v>
      </c>
      <c r="E46" s="12"/>
    </row>
    <row r="47" spans="1:5" x14ac:dyDescent="0.3">
      <c r="A47" s="8" t="s">
        <v>285</v>
      </c>
      <c r="B47" s="20" t="str">
        <f>IF($B$11/($B$12*(1-'Rule tables'!$B$74))&lt;='Rule tables'!$B$60,"A",IF($B$11/($B$12*(1-'Rule tables'!$B$74))&lt;='Rule tables'!$B$61,"B",IF($B$11/($B$12*(1-'Rule tables'!$B$74))&lt;='Rule tables'!$B$62,"C",IF($B$11/($B$12*(1-'Rule tables'!$B$74))&lt;='Rule tables'!$B$63,"D","E"))))</f>
        <v>A</v>
      </c>
      <c r="C47" s="10"/>
      <c r="D47" s="11" t="s">
        <v>286</v>
      </c>
      <c r="E47" s="12"/>
    </row>
    <row r="48" spans="1:5" x14ac:dyDescent="0.3">
      <c r="A48" s="8" t="s">
        <v>287</v>
      </c>
      <c r="B48" s="20" t="str">
        <f>IF($B$11/($B$12*(1-'Rule tables'!$B$75))&lt;='Rule tables'!$B$60,"A",IF($B$11/($B$12*(1-'Rule tables'!$B$75))&lt;='Rule tables'!$B$61,"B",IF($B$11/($B$12*(1-'Rule tables'!$B$75))&lt;='Rule tables'!$B$62,"C",IF($B$11/($B$12*(1-'Rule tables'!$B$75))&lt;='Rule tables'!$B$63,"D","E"))))</f>
        <v>A</v>
      </c>
      <c r="C48" s="10"/>
      <c r="D48" s="11" t="s">
        <v>288</v>
      </c>
      <c r="E48" s="12"/>
    </row>
    <row r="49" spans="1:5" ht="15" customHeight="1" x14ac:dyDescent="0.3">
      <c r="A49" s="55" t="s">
        <v>289</v>
      </c>
      <c r="B49" s="54"/>
      <c r="C49" s="54"/>
      <c r="D49" s="54"/>
      <c r="E49" s="54"/>
    </row>
  </sheetData>
  <mergeCells count="2">
    <mergeCell ref="A2:E2"/>
    <mergeCell ref="A49:E49"/>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8"/>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290</v>
      </c>
    </row>
    <row r="2" spans="1:5" ht="30" customHeight="1" x14ac:dyDescent="0.3">
      <c r="A2" s="53" t="s">
        <v>291</v>
      </c>
      <c r="B2" s="54"/>
      <c r="C2" s="54"/>
      <c r="D2" s="54"/>
      <c r="E2" s="54"/>
    </row>
    <row r="5" spans="1:5" x14ac:dyDescent="0.3">
      <c r="A5" s="5" t="s">
        <v>292</v>
      </c>
      <c r="B5" s="6"/>
      <c r="C5" s="6"/>
      <c r="D5" s="6"/>
      <c r="E5" s="6"/>
    </row>
    <row r="6" spans="1:5" x14ac:dyDescent="0.3">
      <c r="A6" s="7" t="s">
        <v>18</v>
      </c>
      <c r="B6" s="7" t="s">
        <v>19</v>
      </c>
      <c r="C6" s="7" t="s">
        <v>20</v>
      </c>
      <c r="D6" s="7" t="s">
        <v>21</v>
      </c>
      <c r="E6" s="7" t="s">
        <v>22</v>
      </c>
    </row>
    <row r="7" spans="1:5" x14ac:dyDescent="0.3">
      <c r="A7" s="8" t="s">
        <v>205</v>
      </c>
      <c r="B7" s="16">
        <v>2026</v>
      </c>
      <c r="C7" s="10"/>
      <c r="D7" s="11"/>
      <c r="E7" s="12"/>
    </row>
    <row r="8" spans="1:5" x14ac:dyDescent="0.3">
      <c r="A8" s="8" t="s">
        <v>190</v>
      </c>
      <c r="B8" s="18">
        <v>10000</v>
      </c>
      <c r="C8" s="10" t="s">
        <v>159</v>
      </c>
      <c r="D8" s="11"/>
      <c r="E8" s="12" t="s">
        <v>189</v>
      </c>
    </row>
    <row r="9" spans="1:5" x14ac:dyDescent="0.3">
      <c r="A9" s="8" t="s">
        <v>293</v>
      </c>
      <c r="B9" s="14">
        <v>50000</v>
      </c>
      <c r="C9" s="10" t="s">
        <v>242</v>
      </c>
      <c r="D9" s="11"/>
      <c r="E9" s="12" t="s">
        <v>189</v>
      </c>
    </row>
    <row r="10" spans="1:5" x14ac:dyDescent="0.3">
      <c r="A10" s="8" t="s">
        <v>294</v>
      </c>
      <c r="B10" s="14">
        <v>100000</v>
      </c>
      <c r="C10" s="10" t="s">
        <v>246</v>
      </c>
      <c r="D10" s="11"/>
      <c r="E10" s="12" t="s">
        <v>189</v>
      </c>
    </row>
    <row r="11" spans="1:5" x14ac:dyDescent="0.3">
      <c r="A11" s="8" t="s">
        <v>295</v>
      </c>
      <c r="B11" s="14">
        <v>1000</v>
      </c>
      <c r="C11" s="10" t="s">
        <v>296</v>
      </c>
      <c r="D11" s="11"/>
      <c r="E11" s="12" t="s">
        <v>189</v>
      </c>
    </row>
    <row r="12" spans="1:5" x14ac:dyDescent="0.3">
      <c r="A12" s="8" t="s">
        <v>297</v>
      </c>
      <c r="B12" s="37">
        <f>'Rule tables'!$B$85*24*'Rule tables'!$B$86*$B$11/1000000</f>
        <v>11.55</v>
      </c>
      <c r="C12" s="10" t="s">
        <v>159</v>
      </c>
      <c r="D12" s="11" t="s">
        <v>298</v>
      </c>
      <c r="E12" s="12" t="s">
        <v>299</v>
      </c>
    </row>
    <row r="13" spans="1:5" x14ac:dyDescent="0.3">
      <c r="A13" s="8" t="s">
        <v>300</v>
      </c>
      <c r="B13" s="32">
        <f>0.75-0.03*MAX(0,$B$7-2023)</f>
        <v>0.66</v>
      </c>
      <c r="C13" s="10"/>
      <c r="D13" s="11" t="s">
        <v>301</v>
      </c>
      <c r="E13" s="12" t="s">
        <v>302</v>
      </c>
    </row>
    <row r="14" spans="1:5" x14ac:dyDescent="0.3">
      <c r="A14" s="8" t="s">
        <v>303</v>
      </c>
      <c r="B14" s="23">
        <f>'Rule tables'!$B$7*($B$8-$B$13*$B$12)</f>
        <v>31116.261977999999</v>
      </c>
      <c r="C14" s="10" t="s">
        <v>159</v>
      </c>
      <c r="D14" s="11" t="s">
        <v>304</v>
      </c>
      <c r="E14" s="12"/>
    </row>
    <row r="15" spans="1:5" ht="26.4" x14ac:dyDescent="0.3">
      <c r="A15" s="24" t="s">
        <v>305</v>
      </c>
      <c r="B15" s="35">
        <f>$B$14*1000000/($B$9*$B$10)</f>
        <v>6.2232523956000003</v>
      </c>
      <c r="C15" s="10" t="s">
        <v>249</v>
      </c>
      <c r="D15" s="11"/>
      <c r="E15" s="12"/>
    </row>
    <row r="16" spans="1:5" ht="26.4" x14ac:dyDescent="0.3">
      <c r="A16" s="8" t="s">
        <v>306</v>
      </c>
      <c r="B16" s="32">
        <f>'Rule tables'!$B$7*$B$8*1000000/($B$9*$B$10)</f>
        <v>6.2279999999999998</v>
      </c>
      <c r="C16" s="10" t="s">
        <v>249</v>
      </c>
      <c r="D16" s="11"/>
      <c r="E16" s="12"/>
    </row>
    <row r="17" spans="1:5" x14ac:dyDescent="0.3">
      <c r="A17" s="8" t="s">
        <v>307</v>
      </c>
      <c r="B17" s="32">
        <f>'Rule tables'!$B$58*$B$9^(-'Rule tables'!$B$59)*(1-INDEX('Rule tables'!$B$68:$B$75,MATCH($B$7,'Rule tables'!$A$68:$A$75,0)))</f>
        <v>8.8947826924180262</v>
      </c>
      <c r="C17" s="10"/>
      <c r="D17" s="11"/>
      <c r="E17" s="12"/>
    </row>
    <row r="18" spans="1:5" ht="45" customHeight="1" x14ac:dyDescent="0.3">
      <c r="A18" s="55" t="s">
        <v>308</v>
      </c>
      <c r="B18" s="54"/>
      <c r="C18" s="54"/>
      <c r="D18" s="54"/>
      <c r="E18" s="54"/>
    </row>
  </sheetData>
  <mergeCells count="2">
    <mergeCell ref="A2:E2"/>
    <mergeCell ref="A18:E18"/>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309</v>
      </c>
    </row>
    <row r="2" spans="1:5" ht="30" customHeight="1" x14ac:dyDescent="0.3">
      <c r="A2" s="53" t="s">
        <v>310</v>
      </c>
      <c r="B2" s="54"/>
      <c r="C2" s="54"/>
      <c r="D2" s="54"/>
      <c r="E2" s="54"/>
    </row>
    <row r="5" spans="1:5" x14ac:dyDescent="0.3">
      <c r="A5" s="5" t="s">
        <v>311</v>
      </c>
      <c r="B5" s="6"/>
      <c r="C5" s="6"/>
      <c r="D5" s="6"/>
      <c r="E5" s="6"/>
    </row>
    <row r="6" spans="1:5" x14ac:dyDescent="0.3">
      <c r="A6" s="7" t="s">
        <v>18</v>
      </c>
      <c r="B6" s="7" t="s">
        <v>19</v>
      </c>
      <c r="C6" s="7" t="s">
        <v>20</v>
      </c>
      <c r="D6" s="7" t="s">
        <v>21</v>
      </c>
      <c r="E6" s="7" t="s">
        <v>22</v>
      </c>
    </row>
    <row r="7" spans="1:5" x14ac:dyDescent="0.3">
      <c r="A7" s="8" t="s">
        <v>312</v>
      </c>
      <c r="B7" s="14">
        <v>93000</v>
      </c>
      <c r="C7" s="10" t="s">
        <v>242</v>
      </c>
      <c r="D7" s="11"/>
      <c r="E7" s="12" t="s">
        <v>313</v>
      </c>
    </row>
    <row r="8" spans="1:5" x14ac:dyDescent="0.3">
      <c r="A8" s="8" t="s">
        <v>314</v>
      </c>
      <c r="B8" s="32">
        <f>'Rule tables'!$B$79*$B$7^(-'Rule tables'!$B$80)</f>
        <v>4.1031169037214754</v>
      </c>
      <c r="C8" s="10" t="s">
        <v>315</v>
      </c>
      <c r="D8" s="11" t="s">
        <v>316</v>
      </c>
      <c r="E8" s="12"/>
    </row>
    <row r="9" spans="1:5" x14ac:dyDescent="0.3">
      <c r="A9" s="8" t="s">
        <v>317</v>
      </c>
      <c r="B9" s="32">
        <f>$B$8*(1-'Rule tables'!$B$81)</f>
        <v>3.2824935229771803</v>
      </c>
      <c r="C9" s="10" t="s">
        <v>315</v>
      </c>
      <c r="D9" s="11" t="s">
        <v>318</v>
      </c>
      <c r="E9" s="12"/>
    </row>
    <row r="10" spans="1:5" x14ac:dyDescent="0.3">
      <c r="A10" s="8" t="s">
        <v>319</v>
      </c>
      <c r="B10" s="13">
        <v>2.97</v>
      </c>
      <c r="C10" s="10" t="s">
        <v>315</v>
      </c>
      <c r="D10" s="11"/>
      <c r="E10" s="12" t="s">
        <v>320</v>
      </c>
    </row>
    <row r="11" spans="1:5" x14ac:dyDescent="0.3">
      <c r="A11" s="8" t="s">
        <v>321</v>
      </c>
      <c r="B11" s="22">
        <f>($B$9-$B$10)/$B$9</f>
        <v>9.5200042525522624E-2</v>
      </c>
      <c r="C11" s="10"/>
      <c r="D11" s="11" t="s">
        <v>322</v>
      </c>
      <c r="E11" s="12"/>
    </row>
    <row r="12" spans="1:5" x14ac:dyDescent="0.3">
      <c r="A12" s="24" t="s">
        <v>323</v>
      </c>
      <c r="B12" s="36" t="str">
        <f>IF($B$10&lt;=$B$9,"COMPLIANT","ABOVE REQUIRED")</f>
        <v>COMPLIANT</v>
      </c>
      <c r="C12" s="10"/>
      <c r="D12" s="11"/>
      <c r="E12" s="12"/>
    </row>
  </sheetData>
  <mergeCells count="1">
    <mergeCell ref="A2:E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28"/>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324</v>
      </c>
    </row>
    <row r="2" spans="1:5" ht="30" customHeight="1" x14ac:dyDescent="0.3">
      <c r="A2" s="53" t="s">
        <v>325</v>
      </c>
      <c r="B2" s="54"/>
      <c r="C2" s="54"/>
      <c r="D2" s="54"/>
      <c r="E2" s="54"/>
    </row>
    <row r="5" spans="1:5" x14ac:dyDescent="0.3">
      <c r="A5" s="5" t="s">
        <v>326</v>
      </c>
      <c r="B5" s="6"/>
      <c r="C5" s="6"/>
      <c r="D5" s="6"/>
      <c r="E5" s="6"/>
    </row>
    <row r="6" spans="1:5" x14ac:dyDescent="0.3">
      <c r="A6" s="7" t="s">
        <v>18</v>
      </c>
      <c r="B6" s="7" t="s">
        <v>19</v>
      </c>
      <c r="C6" s="7" t="s">
        <v>20</v>
      </c>
      <c r="D6" s="7" t="s">
        <v>21</v>
      </c>
      <c r="E6" s="7" t="s">
        <v>22</v>
      </c>
    </row>
    <row r="7" spans="1:5" x14ac:dyDescent="0.3">
      <c r="A7" s="8" t="s">
        <v>205</v>
      </c>
      <c r="B7" s="16">
        <v>2026</v>
      </c>
      <c r="C7" s="10"/>
      <c r="D7" s="11"/>
      <c r="E7" s="12"/>
    </row>
    <row r="8" spans="1:5" x14ac:dyDescent="0.3">
      <c r="A8" s="8" t="s">
        <v>327</v>
      </c>
      <c r="B8" s="18">
        <v>4300</v>
      </c>
      <c r="C8" s="10" t="s">
        <v>159</v>
      </c>
      <c r="D8" s="11"/>
      <c r="E8" s="12" t="s">
        <v>189</v>
      </c>
    </row>
    <row r="9" spans="1:5" x14ac:dyDescent="0.3">
      <c r="A9" s="8" t="s">
        <v>328</v>
      </c>
      <c r="B9" s="17">
        <v>0.4</v>
      </c>
      <c r="C9" s="10"/>
      <c r="D9" s="11"/>
      <c r="E9" s="12" t="s">
        <v>329</v>
      </c>
    </row>
    <row r="10" spans="1:5" x14ac:dyDescent="0.3">
      <c r="A10" s="8" t="s">
        <v>330</v>
      </c>
      <c r="B10" s="17">
        <v>0.3</v>
      </c>
      <c r="C10" s="10"/>
      <c r="D10" s="11"/>
      <c r="E10" s="12" t="s">
        <v>62</v>
      </c>
    </row>
    <row r="11" spans="1:5" x14ac:dyDescent="0.3">
      <c r="A11" s="8" t="s">
        <v>331</v>
      </c>
      <c r="B11" s="17">
        <v>0.1</v>
      </c>
      <c r="C11" s="10"/>
      <c r="D11" s="11"/>
      <c r="E11" s="12" t="s">
        <v>62</v>
      </c>
    </row>
    <row r="12" spans="1:5" x14ac:dyDescent="0.3">
      <c r="A12" s="8" t="s">
        <v>332</v>
      </c>
      <c r="B12" s="17">
        <v>0.05</v>
      </c>
      <c r="C12" s="10"/>
      <c r="D12" s="11"/>
      <c r="E12" s="12" t="s">
        <v>62</v>
      </c>
    </row>
    <row r="13" spans="1:5" x14ac:dyDescent="0.3">
      <c r="A13" s="8" t="s">
        <v>333</v>
      </c>
      <c r="B13" s="17">
        <v>0</v>
      </c>
      <c r="C13" s="10"/>
      <c r="D13" s="11"/>
      <c r="E13" s="12" t="s">
        <v>62</v>
      </c>
    </row>
    <row r="14" spans="1:5" x14ac:dyDescent="0.3">
      <c r="A14" s="8" t="s">
        <v>334</v>
      </c>
      <c r="B14" s="22">
        <f>1-$B$9-$B$10-$B$11-$B$12-$B$13</f>
        <v>0.14999999999999997</v>
      </c>
      <c r="C14" s="10"/>
      <c r="D14" s="11" t="s">
        <v>335</v>
      </c>
      <c r="E14" s="12"/>
    </row>
    <row r="15" spans="1:5" x14ac:dyDescent="0.3">
      <c r="A15" s="8" t="s">
        <v>336</v>
      </c>
      <c r="B15" s="21">
        <f>'Rule tables'!$B$7+IF($B$7&gt;='Rule tables'!$B$19,'Rule tables'!$B$15*'Rule tables'!$B$17+'Rule tables'!$B$16*'Rule tables'!$B$18,0)</f>
        <v>3.1631</v>
      </c>
      <c r="C15" s="10" t="s">
        <v>337</v>
      </c>
      <c r="D15" s="11" t="s">
        <v>338</v>
      </c>
      <c r="E15" s="12"/>
    </row>
    <row r="16" spans="1:5" x14ac:dyDescent="0.3">
      <c r="A16" s="8" t="s">
        <v>339</v>
      </c>
      <c r="B16" s="23">
        <f>$B$8*($B$9*'Rule tables'!$B$34+$B$10*'Rule tables'!$B$35+$B$11*'Rule tables'!$B$36)</f>
        <v>2795</v>
      </c>
      <c r="C16" s="10" t="s">
        <v>159</v>
      </c>
      <c r="D16" s="11" t="s">
        <v>340</v>
      </c>
      <c r="E16" s="12"/>
    </row>
    <row r="17" spans="1:5" x14ac:dyDescent="0.3">
      <c r="A17" s="8" t="s">
        <v>341</v>
      </c>
      <c r="B17" s="23">
        <f>$B$16*$B$15</f>
        <v>8840.8644999999997</v>
      </c>
      <c r="C17" s="10" t="s">
        <v>194</v>
      </c>
      <c r="D17" s="11"/>
      <c r="E17" s="12"/>
    </row>
    <row r="18" spans="1:5" x14ac:dyDescent="0.3">
      <c r="A18" s="24" t="s">
        <v>183</v>
      </c>
      <c r="B18" s="25">
        <f>$B$17*INDEX('Rule tables'!$B$23:$B$30,MATCH($B$7,'Rule tables'!$A$23:$A$30,0))*Assumptions!$B$7</f>
        <v>751473.48249999993</v>
      </c>
      <c r="C18" s="10" t="s">
        <v>184</v>
      </c>
      <c r="D18" s="11"/>
      <c r="E18" s="12"/>
    </row>
    <row r="19" spans="1:5" x14ac:dyDescent="0.3">
      <c r="A19" s="8" t="s">
        <v>342</v>
      </c>
      <c r="B19" s="23">
        <f>$B$8*($B$12+$B$13*'Rule tables'!$B$37)</f>
        <v>215</v>
      </c>
      <c r="C19" s="10" t="s">
        <v>159</v>
      </c>
      <c r="D19" s="11" t="s">
        <v>343</v>
      </c>
      <c r="E19" s="12" t="s">
        <v>344</v>
      </c>
    </row>
    <row r="20" spans="1:5" x14ac:dyDescent="0.3">
      <c r="A20" s="8" t="s">
        <v>345</v>
      </c>
      <c r="B20" s="23">
        <f>$B$19*$B$15</f>
        <v>680.06650000000002</v>
      </c>
      <c r="C20" s="10" t="s">
        <v>194</v>
      </c>
      <c r="D20" s="11" t="s">
        <v>346</v>
      </c>
      <c r="E20" s="12"/>
    </row>
    <row r="21" spans="1:5" x14ac:dyDescent="0.3">
      <c r="A21" s="24" t="s">
        <v>347</v>
      </c>
      <c r="B21" s="38">
        <f>$B$20*Assumptions!$B$8</f>
        <v>27202.66</v>
      </c>
      <c r="C21" s="10" t="s">
        <v>348</v>
      </c>
      <c r="D21" s="11"/>
      <c r="E21" s="12"/>
    </row>
    <row r="22" spans="1:5" x14ac:dyDescent="0.3">
      <c r="A22" s="8" t="s">
        <v>349</v>
      </c>
      <c r="B22" s="26">
        <f>$B$21*Assumptions!$B$9</f>
        <v>31283.058999999997</v>
      </c>
      <c r="C22" s="10" t="s">
        <v>184</v>
      </c>
      <c r="D22" s="11"/>
      <c r="E22" s="12"/>
    </row>
    <row r="23" spans="1:5" x14ac:dyDescent="0.3">
      <c r="A23" s="8" t="s">
        <v>350</v>
      </c>
      <c r="B23" s="28">
        <f>$B$16*'Rule tables'!$B$49</f>
        <v>113197500</v>
      </c>
      <c r="C23" s="10" t="s">
        <v>104</v>
      </c>
      <c r="D23" s="11" t="s">
        <v>351</v>
      </c>
      <c r="E23" s="12"/>
    </row>
    <row r="24" spans="1:5" x14ac:dyDescent="0.3">
      <c r="A24" s="8" t="s">
        <v>352</v>
      </c>
      <c r="B24" s="23">
        <f>('Rule tables'!$B$41*(1-INDEX('Rule tables'!$B$42:$B$48,MATCH($B$7,'Rule tables'!$A$42:$A$48,0)))-'Rule tables'!$B$50)*$B$23/1000000</f>
        <v>-272.03623199999981</v>
      </c>
      <c r="C24" s="10" t="s">
        <v>194</v>
      </c>
      <c r="D24" s="11"/>
      <c r="E24" s="12"/>
    </row>
    <row r="25" spans="1:5" x14ac:dyDescent="0.3">
      <c r="A25" s="24" t="s">
        <v>225</v>
      </c>
      <c r="B25" s="33">
        <f>IF($B$24&lt;0,ABS($B$24)*1000000/('Rule tables'!$B$50*'Rule tables'!$B$52)*'Rule tables'!$B$51*(1+(Assumptions!$B$11-1)/10),0)</f>
        <v>173578.28773788054</v>
      </c>
      <c r="C25" s="10" t="s">
        <v>184</v>
      </c>
      <c r="D25" s="11"/>
      <c r="E25" s="12"/>
    </row>
    <row r="26" spans="1:5" x14ac:dyDescent="0.3">
      <c r="A26" s="8" t="s">
        <v>353</v>
      </c>
      <c r="B26" s="34">
        <f>IF($B$24&lt;0,ABS($B$24)*Assumptions!$B$10,0)</f>
        <v>29923.98551999998</v>
      </c>
      <c r="C26" s="10" t="s">
        <v>184</v>
      </c>
      <c r="D26" s="11"/>
      <c r="E26" s="12"/>
    </row>
    <row r="27" spans="1:5" x14ac:dyDescent="0.3">
      <c r="A27" s="24" t="s">
        <v>354</v>
      </c>
      <c r="B27" s="33">
        <f>$B$18+$B$22+$B$25</f>
        <v>956334.82923788042</v>
      </c>
      <c r="C27" s="10" t="s">
        <v>184</v>
      </c>
      <c r="D27" s="11"/>
      <c r="E27" s="12"/>
    </row>
    <row r="28" spans="1:5" x14ac:dyDescent="0.3">
      <c r="A28" s="8" t="s">
        <v>355</v>
      </c>
      <c r="B28" s="34">
        <f>$B$18+$B$22+$B$26</f>
        <v>812680.52701999992</v>
      </c>
      <c r="C28" s="10" t="s">
        <v>184</v>
      </c>
      <c r="D28" s="11"/>
      <c r="E28" s="12"/>
    </row>
  </sheetData>
  <mergeCells count="1">
    <mergeCell ref="A2:E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6"/>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356</v>
      </c>
    </row>
    <row r="2" spans="1:5" ht="30" customHeight="1" x14ac:dyDescent="0.3">
      <c r="A2" s="53" t="s">
        <v>357</v>
      </c>
      <c r="B2" s="54"/>
      <c r="C2" s="54"/>
      <c r="D2" s="54"/>
      <c r="E2" s="54"/>
    </row>
    <row r="5" spans="1:5" x14ac:dyDescent="0.3">
      <c r="A5" s="5" t="s">
        <v>358</v>
      </c>
      <c r="B5" s="6"/>
      <c r="C5" s="6"/>
      <c r="D5" s="6"/>
      <c r="E5" s="6"/>
    </row>
    <row r="6" spans="1:5" x14ac:dyDescent="0.3">
      <c r="A6" s="7" t="s">
        <v>18</v>
      </c>
      <c r="B6" s="7" t="s">
        <v>19</v>
      </c>
      <c r="C6" s="7" t="s">
        <v>20</v>
      </c>
      <c r="D6" s="7" t="s">
        <v>21</v>
      </c>
      <c r="E6" s="7" t="s">
        <v>22</v>
      </c>
    </row>
    <row r="7" spans="1:5" x14ac:dyDescent="0.3">
      <c r="A7" s="8" t="s">
        <v>205</v>
      </c>
      <c r="B7" s="16">
        <v>2025</v>
      </c>
      <c r="C7" s="10"/>
      <c r="D7" s="11"/>
      <c r="E7" s="12"/>
    </row>
    <row r="8" spans="1:5" x14ac:dyDescent="0.3">
      <c r="A8" s="8" t="s">
        <v>359</v>
      </c>
      <c r="B8" s="39">
        <f>DATE(2025,3,1)</f>
        <v>45717</v>
      </c>
      <c r="C8" s="10"/>
      <c r="D8" s="11"/>
      <c r="E8" s="12" t="s">
        <v>360</v>
      </c>
    </row>
    <row r="9" spans="1:5" x14ac:dyDescent="0.3">
      <c r="A9" s="8" t="s">
        <v>361</v>
      </c>
      <c r="B9" s="39">
        <f>DATE(2025,8,31)</f>
        <v>45900</v>
      </c>
      <c r="C9" s="10"/>
      <c r="D9" s="11"/>
      <c r="E9" s="12" t="s">
        <v>360</v>
      </c>
    </row>
    <row r="10" spans="1:5" x14ac:dyDescent="0.3">
      <c r="A10" s="8" t="s">
        <v>362</v>
      </c>
      <c r="B10" s="40">
        <v>100000</v>
      </c>
      <c r="C10" s="10" t="s">
        <v>184</v>
      </c>
      <c r="D10" s="11"/>
      <c r="E10" s="12" t="s">
        <v>189</v>
      </c>
    </row>
    <row r="11" spans="1:5" x14ac:dyDescent="0.3">
      <c r="A11" s="8" t="s">
        <v>363</v>
      </c>
      <c r="B11" s="30">
        <f>MAX(0,MIN($B$9,DATE($B$7,12,31))-MAX($B$8,DATE($B$7,1,1))+1)</f>
        <v>184</v>
      </c>
      <c r="C11" s="10" t="s">
        <v>364</v>
      </c>
      <c r="D11" s="11" t="s">
        <v>365</v>
      </c>
      <c r="E11" s="12"/>
    </row>
    <row r="12" spans="1:5" x14ac:dyDescent="0.3">
      <c r="A12" s="8" t="s">
        <v>366</v>
      </c>
      <c r="B12" s="30">
        <f>DATE($B$7+1,1,1)-DATE($B$7,1,1)</f>
        <v>365</v>
      </c>
      <c r="C12" s="10" t="s">
        <v>364</v>
      </c>
      <c r="D12" s="11"/>
      <c r="E12" s="12"/>
    </row>
    <row r="13" spans="1:5" x14ac:dyDescent="0.3">
      <c r="A13" s="8" t="s">
        <v>367</v>
      </c>
      <c r="B13" s="22">
        <f>$B$11/$B$12</f>
        <v>0.50410958904109593</v>
      </c>
      <c r="C13" s="10"/>
      <c r="D13" s="11"/>
      <c r="E13" s="12"/>
    </row>
    <row r="14" spans="1:5" x14ac:dyDescent="0.3">
      <c r="A14" s="24" t="s">
        <v>368</v>
      </c>
      <c r="B14" s="33">
        <f>ROUND($B$10*$B$13,0)</f>
        <v>50411</v>
      </c>
      <c r="C14" s="10" t="s">
        <v>184</v>
      </c>
      <c r="D14" s="11"/>
      <c r="E14" s="12"/>
    </row>
    <row r="15" spans="1:5" x14ac:dyDescent="0.3">
      <c r="A15" s="24" t="s">
        <v>369</v>
      </c>
      <c r="B15" s="33">
        <f>$B$10-$B$14</f>
        <v>49589</v>
      </c>
      <c r="C15" s="10" t="s">
        <v>184</v>
      </c>
      <c r="D15" s="11"/>
      <c r="E15" s="12"/>
    </row>
    <row r="16" spans="1:5" ht="15" customHeight="1" x14ac:dyDescent="0.3">
      <c r="A16" s="55" t="s">
        <v>370</v>
      </c>
      <c r="B16" s="54"/>
      <c r="C16" s="54"/>
      <c r="D16" s="54"/>
      <c r="E16" s="54"/>
    </row>
  </sheetData>
  <mergeCells count="2">
    <mergeCell ref="A2:E2"/>
    <mergeCell ref="A16:E16"/>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0"/>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371</v>
      </c>
    </row>
    <row r="2" spans="1:5" ht="30" customHeight="1" x14ac:dyDescent="0.3">
      <c r="A2" s="53" t="s">
        <v>372</v>
      </c>
      <c r="B2" s="54"/>
      <c r="C2" s="54"/>
      <c r="D2" s="54"/>
      <c r="E2" s="54"/>
    </row>
    <row r="5" spans="1:5" x14ac:dyDescent="0.3">
      <c r="A5" s="5" t="s">
        <v>373</v>
      </c>
      <c r="B5" s="6"/>
      <c r="C5" s="6"/>
      <c r="D5" s="6"/>
      <c r="E5" s="6"/>
    </row>
    <row r="6" spans="1:5" x14ac:dyDescent="0.3">
      <c r="A6" s="7" t="s">
        <v>18</v>
      </c>
      <c r="B6" s="7" t="s">
        <v>19</v>
      </c>
      <c r="C6" s="7" t="s">
        <v>20</v>
      </c>
      <c r="D6" s="7" t="s">
        <v>21</v>
      </c>
      <c r="E6" s="7" t="s">
        <v>22</v>
      </c>
    </row>
    <row r="7" spans="1:5" x14ac:dyDescent="0.3">
      <c r="A7" s="8" t="s">
        <v>374</v>
      </c>
      <c r="B7" s="17">
        <v>-0.1</v>
      </c>
      <c r="C7" s="10"/>
      <c r="D7" s="11"/>
      <c r="E7" s="12" t="s">
        <v>375</v>
      </c>
    </row>
    <row r="8" spans="1:5" x14ac:dyDescent="0.3">
      <c r="A8" s="8" t="s">
        <v>376</v>
      </c>
      <c r="B8" s="13">
        <v>3</v>
      </c>
      <c r="C8" s="10"/>
      <c r="D8" s="11" t="s">
        <v>377</v>
      </c>
      <c r="E8" s="12" t="s">
        <v>378</v>
      </c>
    </row>
    <row r="9" spans="1:5" x14ac:dyDescent="0.3">
      <c r="A9" s="8" t="s">
        <v>379</v>
      </c>
      <c r="B9" s="17">
        <v>0</v>
      </c>
      <c r="C9" s="10"/>
      <c r="D9" s="11"/>
      <c r="E9" s="12" t="s">
        <v>380</v>
      </c>
    </row>
    <row r="10" spans="1:5" x14ac:dyDescent="0.3">
      <c r="A10" s="8" t="s">
        <v>381</v>
      </c>
      <c r="B10" s="21">
        <f>(1+$B$7)^($B$8-1)</f>
        <v>0.81</v>
      </c>
      <c r="C10" s="10"/>
      <c r="D10" s="11" t="s">
        <v>382</v>
      </c>
      <c r="E10" s="12"/>
    </row>
    <row r="11" spans="1:5" x14ac:dyDescent="0.3">
      <c r="A11" s="8" t="s">
        <v>383</v>
      </c>
      <c r="B11" s="21">
        <f>1/(1+$B$7)</f>
        <v>1.1111111111111112</v>
      </c>
      <c r="C11" s="10"/>
      <c r="D11" s="11" t="s">
        <v>384</v>
      </c>
      <c r="E11" s="12"/>
    </row>
    <row r="12" spans="1:5" x14ac:dyDescent="0.3">
      <c r="A12" s="24" t="s">
        <v>385</v>
      </c>
      <c r="B12" s="41">
        <f>(1-$B$9)*$B$10+$B$9*$B$11</f>
        <v>0.81</v>
      </c>
      <c r="C12" s="10"/>
      <c r="D12" s="11"/>
      <c r="E12" s="12"/>
    </row>
    <row r="14" spans="1:5" x14ac:dyDescent="0.3">
      <c r="A14" s="5" t="s">
        <v>386</v>
      </c>
      <c r="B14" s="6"/>
      <c r="C14" s="6"/>
      <c r="D14" s="6"/>
      <c r="E14" s="6"/>
    </row>
    <row r="15" spans="1:5" x14ac:dyDescent="0.3">
      <c r="A15" s="7" t="s">
        <v>18</v>
      </c>
      <c r="B15" s="7" t="s">
        <v>19</v>
      </c>
      <c r="C15" s="7" t="s">
        <v>20</v>
      </c>
      <c r="D15" s="7" t="s">
        <v>21</v>
      </c>
      <c r="E15" s="7" t="s">
        <v>22</v>
      </c>
    </row>
    <row r="16" spans="1:5" x14ac:dyDescent="0.3">
      <c r="A16" s="8" t="s">
        <v>387</v>
      </c>
      <c r="B16" s="17">
        <v>0.2</v>
      </c>
      <c r="C16" s="10"/>
      <c r="D16" s="11"/>
      <c r="E16" s="12" t="s">
        <v>375</v>
      </c>
    </row>
    <row r="17" spans="1:5" x14ac:dyDescent="0.3">
      <c r="A17" s="8" t="s">
        <v>388</v>
      </c>
      <c r="B17" s="18">
        <v>1000</v>
      </c>
      <c r="C17" s="10" t="s">
        <v>159</v>
      </c>
      <c r="D17" s="11"/>
      <c r="E17" s="12" t="s">
        <v>189</v>
      </c>
    </row>
    <row r="18" spans="1:5" x14ac:dyDescent="0.3">
      <c r="A18" s="8" t="s">
        <v>389</v>
      </c>
      <c r="B18" s="14">
        <v>37000</v>
      </c>
      <c r="C18" s="10" t="s">
        <v>96</v>
      </c>
      <c r="D18" s="11"/>
      <c r="E18" s="12" t="s">
        <v>390</v>
      </c>
    </row>
    <row r="19" spans="1:5" x14ac:dyDescent="0.3">
      <c r="A19" s="8" t="s">
        <v>391</v>
      </c>
      <c r="B19" s="23">
        <f>$B$17*(1-$B$16)</f>
        <v>800</v>
      </c>
      <c r="C19" s="10" t="s">
        <v>159</v>
      </c>
      <c r="D19" s="11"/>
      <c r="E19" s="12"/>
    </row>
    <row r="20" spans="1:5" x14ac:dyDescent="0.3">
      <c r="A20" s="24" t="s">
        <v>392</v>
      </c>
      <c r="B20" s="42">
        <f>$B$17*$B$16*'Rule tables'!$B$49/$B$18</f>
        <v>218.91891891891891</v>
      </c>
      <c r="C20" s="10" t="s">
        <v>159</v>
      </c>
      <c r="D20" s="11" t="s">
        <v>393</v>
      </c>
      <c r="E20" s="12"/>
    </row>
  </sheetData>
  <mergeCells count="1">
    <mergeCell ref="A2:E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394</v>
      </c>
    </row>
    <row r="2" spans="1:5" ht="30" customHeight="1" x14ac:dyDescent="0.3">
      <c r="A2" s="53" t="s">
        <v>395</v>
      </c>
      <c r="B2" s="54"/>
      <c r="C2" s="54"/>
      <c r="D2" s="54"/>
      <c r="E2" s="54"/>
    </row>
    <row r="5" spans="1:5" x14ac:dyDescent="0.3">
      <c r="A5" s="5" t="s">
        <v>396</v>
      </c>
      <c r="B5" s="6"/>
      <c r="C5" s="6"/>
      <c r="D5" s="6"/>
      <c r="E5" s="6"/>
    </row>
    <row r="6" spans="1:5" x14ac:dyDescent="0.3">
      <c r="A6" s="7" t="s">
        <v>18</v>
      </c>
      <c r="B6" s="7" t="s">
        <v>19</v>
      </c>
      <c r="C6" s="7" t="s">
        <v>20</v>
      </c>
      <c r="D6" s="7" t="s">
        <v>21</v>
      </c>
      <c r="E6" s="7" t="s">
        <v>22</v>
      </c>
    </row>
    <row r="7" spans="1:5" x14ac:dyDescent="0.3">
      <c r="A7" s="8" t="s">
        <v>397</v>
      </c>
      <c r="B7" s="18">
        <v>3000</v>
      </c>
      <c r="C7" s="10" t="s">
        <v>159</v>
      </c>
      <c r="D7" s="11"/>
      <c r="E7" s="12" t="s">
        <v>189</v>
      </c>
    </row>
    <row r="8" spans="1:5" x14ac:dyDescent="0.3">
      <c r="A8" s="8" t="s">
        <v>398</v>
      </c>
      <c r="B8" s="28">
        <f>$B$7*'Rule tables'!$B$49</f>
        <v>121500000</v>
      </c>
      <c r="C8" s="10" t="s">
        <v>104</v>
      </c>
      <c r="D8" s="11"/>
      <c r="E8" s="12"/>
    </row>
    <row r="9" spans="1:5" x14ac:dyDescent="0.3">
      <c r="A9" s="8" t="s">
        <v>399</v>
      </c>
      <c r="B9" s="29">
        <f>'Rule tables'!$B$50</f>
        <v>91.74</v>
      </c>
      <c r="C9" s="10" t="s">
        <v>85</v>
      </c>
      <c r="D9" s="11"/>
      <c r="E9" s="12"/>
    </row>
    <row r="10" spans="1:5" x14ac:dyDescent="0.3">
      <c r="A10" s="8" t="s">
        <v>400</v>
      </c>
      <c r="B10" s="32">
        <f>'Rule tables'!$B$90*(1-'Rule tables'!$B$91)</f>
        <v>89.567999999999998</v>
      </c>
      <c r="C10" s="10" t="s">
        <v>85</v>
      </c>
      <c r="D10" s="11"/>
      <c r="E10" s="12"/>
    </row>
    <row r="11" spans="1:5" x14ac:dyDescent="0.3">
      <c r="A11" s="8" t="s">
        <v>401</v>
      </c>
      <c r="B11" s="32">
        <f>'Rule tables'!$B$90*(1-'Rule tables'!$B$92)</f>
        <v>77.438999999999993</v>
      </c>
      <c r="C11" s="10" t="s">
        <v>85</v>
      </c>
      <c r="D11" s="11"/>
      <c r="E11" s="12"/>
    </row>
    <row r="12" spans="1:5" x14ac:dyDescent="0.3">
      <c r="A12" s="8" t="s">
        <v>402</v>
      </c>
      <c r="B12" s="23">
        <f>MAX(0,$B$9-$B$10)*$B$8/1000000</f>
        <v>263.89799999999963</v>
      </c>
      <c r="C12" s="10" t="s">
        <v>194</v>
      </c>
      <c r="D12" s="11"/>
      <c r="E12" s="12"/>
    </row>
    <row r="13" spans="1:5" x14ac:dyDescent="0.3">
      <c r="A13" s="8" t="s">
        <v>403</v>
      </c>
      <c r="B13" s="23">
        <f>(MIN($B$9,$B$10)-$B$11)*$B$8/1000000*($B$9&gt;$B$11)</f>
        <v>1473.6735000000006</v>
      </c>
      <c r="C13" s="10" t="s">
        <v>194</v>
      </c>
      <c r="D13" s="11"/>
      <c r="E13" s="12"/>
    </row>
    <row r="14" spans="1:5" x14ac:dyDescent="0.3">
      <c r="A14" s="24" t="s">
        <v>404</v>
      </c>
      <c r="B14" s="43">
        <f>$B$13*'Rule tables'!$B$93+$B$12*'Rule tables'!$B$94</f>
        <v>247648.58999999991</v>
      </c>
      <c r="C14" s="10" t="s">
        <v>405</v>
      </c>
      <c r="D14" s="11"/>
      <c r="E14" s="12"/>
    </row>
  </sheetData>
  <mergeCells count="1">
    <mergeCell ref="A2:E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9"/>
  <sheetViews>
    <sheetView showGridLines="0" workbookViewId="0">
      <pane ySplit="3" topLeftCell="A4" activePane="bottomLeft" state="frozen"/>
      <selection pane="bottomLeft"/>
    </sheetView>
  </sheetViews>
  <sheetFormatPr defaultRowHeight="14.4" x14ac:dyDescent="0.3"/>
  <cols>
    <col min="1" max="1" width="46" customWidth="1"/>
    <col min="2" max="2" width="18" customWidth="1"/>
    <col min="3" max="3" width="14" customWidth="1"/>
    <col min="4" max="4" width="62" customWidth="1"/>
    <col min="5" max="5" width="46" customWidth="1"/>
  </cols>
  <sheetData>
    <row r="1" spans="1:5" ht="19.2" x14ac:dyDescent="0.35">
      <c r="A1" s="4" t="s">
        <v>406</v>
      </c>
    </row>
    <row r="2" spans="1:5" ht="30" customHeight="1" x14ac:dyDescent="0.3">
      <c r="A2" s="53" t="s">
        <v>407</v>
      </c>
      <c r="B2" s="54"/>
      <c r="C2" s="54"/>
      <c r="D2" s="54"/>
      <c r="E2" s="54"/>
    </row>
    <row r="5" spans="1:5" x14ac:dyDescent="0.3">
      <c r="A5" s="5" t="s">
        <v>408</v>
      </c>
      <c r="B5" s="6"/>
      <c r="C5" s="6"/>
      <c r="D5" s="6"/>
      <c r="E5" s="6"/>
    </row>
    <row r="6" spans="1:5" x14ac:dyDescent="0.3">
      <c r="A6" s="7" t="s">
        <v>18</v>
      </c>
      <c r="B6" s="7" t="s">
        <v>19</v>
      </c>
      <c r="C6" s="7" t="s">
        <v>20</v>
      </c>
      <c r="D6" s="7" t="s">
        <v>21</v>
      </c>
      <c r="E6" s="7" t="s">
        <v>22</v>
      </c>
    </row>
    <row r="7" spans="1:5" x14ac:dyDescent="0.3">
      <c r="A7" s="8" t="s">
        <v>156</v>
      </c>
      <c r="B7" s="16">
        <v>2025</v>
      </c>
      <c r="C7" s="10"/>
      <c r="D7" s="11"/>
      <c r="E7" s="12"/>
    </row>
    <row r="8" spans="1:5" x14ac:dyDescent="0.3">
      <c r="A8" s="8" t="s">
        <v>409</v>
      </c>
      <c r="B8" s="18">
        <v>602.76324999999997</v>
      </c>
      <c r="C8" s="10" t="s">
        <v>159</v>
      </c>
      <c r="D8" s="11"/>
      <c r="E8" s="12" t="s">
        <v>410</v>
      </c>
    </row>
    <row r="9" spans="1:5" x14ac:dyDescent="0.3">
      <c r="A9" s="8" t="s">
        <v>411</v>
      </c>
      <c r="B9" s="18">
        <v>5346.6825600000002</v>
      </c>
      <c r="C9" s="10" t="s">
        <v>159</v>
      </c>
      <c r="D9" s="11"/>
      <c r="E9" s="12" t="s">
        <v>410</v>
      </c>
    </row>
    <row r="10" spans="1:5" x14ac:dyDescent="0.3">
      <c r="A10" s="8" t="s">
        <v>412</v>
      </c>
      <c r="B10" s="18">
        <v>7493.6838399999997</v>
      </c>
      <c r="C10" s="10" t="s">
        <v>159</v>
      </c>
      <c r="D10" s="11"/>
      <c r="E10" s="12" t="s">
        <v>410</v>
      </c>
    </row>
    <row r="11" spans="1:5" x14ac:dyDescent="0.3">
      <c r="A11" s="8" t="s">
        <v>163</v>
      </c>
      <c r="B11" s="18">
        <v>386.02269000000001</v>
      </c>
      <c r="C11" s="10" t="s">
        <v>159</v>
      </c>
      <c r="D11" s="11"/>
      <c r="E11" s="12" t="s">
        <v>410</v>
      </c>
    </row>
    <row r="12" spans="1:5" x14ac:dyDescent="0.3">
      <c r="A12" s="8" t="s">
        <v>413</v>
      </c>
      <c r="B12" s="18">
        <v>7408.9691400000002</v>
      </c>
      <c r="C12" s="10" t="s">
        <v>159</v>
      </c>
      <c r="D12" s="11"/>
      <c r="E12" s="12" t="s">
        <v>410</v>
      </c>
    </row>
    <row r="13" spans="1:5" x14ac:dyDescent="0.3">
      <c r="A13" s="8" t="s">
        <v>414</v>
      </c>
      <c r="B13" s="23">
        <f>$B$8+0.5*($B$9+$B$10)+$B$11</f>
        <v>7408.9691399999992</v>
      </c>
      <c r="C13" s="10" t="s">
        <v>159</v>
      </c>
      <c r="D13" s="11"/>
      <c r="E13" s="12"/>
    </row>
    <row r="14" spans="1:5" x14ac:dyDescent="0.3">
      <c r="A14" s="8" t="s">
        <v>415</v>
      </c>
      <c r="B14" s="23">
        <f>IF($B$12="",$B$13,$B$12)</f>
        <v>7408.9691400000002</v>
      </c>
      <c r="C14" s="10" t="s">
        <v>159</v>
      </c>
      <c r="D14" s="11" t="s">
        <v>416</v>
      </c>
      <c r="E14" s="12"/>
    </row>
    <row r="15" spans="1:5" x14ac:dyDescent="0.3">
      <c r="A15" s="24" t="s">
        <v>183</v>
      </c>
      <c r="B15" s="25">
        <f>$B$14*INDEX('Rule tables'!$B$23:$B$30,MATCH($B$7,'Rule tables'!$A$23:$A$30,0))*Assumptions!$B$7</f>
        <v>440833.66382999998</v>
      </c>
      <c r="C15" s="10" t="s">
        <v>184</v>
      </c>
      <c r="D15" s="11"/>
      <c r="E15" s="12"/>
    </row>
    <row r="16" spans="1:5" x14ac:dyDescent="0.3">
      <c r="A16" s="8" t="s">
        <v>417</v>
      </c>
      <c r="B16" s="23">
        <f>IF($B$14=0,0,('Rule tables'!$B$41*(1-INDEX('Rule tables'!$B$42:$B$48,MATCH(MAX(2025,$B$7),'Rule tables'!$A$42:$A$48,0)))-'Rule tables'!$B$50)*$B$13/'Rule tables'!$B$7*'Rule tables'!$B$49/1000000)</f>
        <v>-231.57097071565298</v>
      </c>
      <c r="C16" s="10" t="s">
        <v>194</v>
      </c>
      <c r="D16" s="11" t="s">
        <v>418</v>
      </c>
      <c r="E16" s="12"/>
    </row>
    <row r="17" spans="1:5" x14ac:dyDescent="0.3">
      <c r="A17" s="24" t="s">
        <v>225</v>
      </c>
      <c r="B17" s="33">
        <f>IF(OR($B$7&lt;2025,$B$16&gt;=0),0,ABS($B$16)*1000000/('Rule tables'!$B$50*'Rule tables'!$B$52)*'Rule tables'!$B$51*(1+(Assumptions!$B$11-1)/10))</f>
        <v>147758.59925387418</v>
      </c>
      <c r="C17" s="10" t="s">
        <v>184</v>
      </c>
      <c r="D17" s="11"/>
      <c r="E17" s="12"/>
    </row>
    <row r="18" spans="1:5" x14ac:dyDescent="0.3">
      <c r="A18" s="8" t="s">
        <v>353</v>
      </c>
      <c r="B18" s="34">
        <f>IF(OR($B$7&lt;2025,$B$16&gt;=0),0,ABS($B$16)*Assumptions!$B$10)</f>
        <v>25472.806778721828</v>
      </c>
      <c r="C18" s="10" t="s">
        <v>184</v>
      </c>
      <c r="D18" s="11"/>
      <c r="E18" s="12"/>
    </row>
    <row r="19" spans="1:5" x14ac:dyDescent="0.3">
      <c r="A19" s="24" t="s">
        <v>419</v>
      </c>
      <c r="B19" s="33">
        <f>$B$15+$B$17</f>
        <v>588592.26308387413</v>
      </c>
      <c r="C19" s="10" t="s">
        <v>184</v>
      </c>
      <c r="D19" s="11"/>
      <c r="E19" s="12"/>
    </row>
  </sheetData>
  <mergeCells count="1">
    <mergeCell ref="A2:E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4"/>
  <sheetViews>
    <sheetView showGridLines="0" workbookViewId="0">
      <pane ySplit="3" topLeftCell="A4" activePane="bottomLeft" state="frozen"/>
      <selection pane="bottomLeft"/>
    </sheetView>
  </sheetViews>
  <sheetFormatPr defaultRowHeight="14.4" x14ac:dyDescent="0.3"/>
  <cols>
    <col min="1" max="1" width="52" customWidth="1"/>
    <col min="2" max="2" width="16" customWidth="1"/>
    <col min="3" max="3" width="18" customWidth="1"/>
    <col min="4" max="4" width="14" customWidth="1"/>
    <col min="5" max="5" width="12" customWidth="1"/>
    <col min="6" max="6" width="10" customWidth="1"/>
  </cols>
  <sheetData>
    <row r="1" spans="1:6" ht="19.2" x14ac:dyDescent="0.35">
      <c r="A1" s="4" t="s">
        <v>420</v>
      </c>
    </row>
    <row r="2" spans="1:6" ht="30" customHeight="1" x14ac:dyDescent="0.3">
      <c r="A2" s="53" t="s">
        <v>421</v>
      </c>
      <c r="B2" s="54"/>
      <c r="C2" s="54"/>
      <c r="D2" s="54"/>
      <c r="E2" s="54"/>
      <c r="F2" s="54"/>
    </row>
    <row r="5" spans="1:6" x14ac:dyDescent="0.3">
      <c r="A5" s="5" t="s">
        <v>422</v>
      </c>
      <c r="B5" s="6"/>
      <c r="C5" s="6"/>
      <c r="D5" s="6"/>
      <c r="E5" s="6"/>
      <c r="F5" s="6"/>
    </row>
    <row r="6" spans="1:6" x14ac:dyDescent="0.3">
      <c r="A6" s="7" t="s">
        <v>423</v>
      </c>
      <c r="B6" s="7" t="s">
        <v>424</v>
      </c>
      <c r="C6" s="7" t="s">
        <v>425</v>
      </c>
      <c r="D6" s="7" t="s">
        <v>426</v>
      </c>
      <c r="E6" s="7" t="s">
        <v>427</v>
      </c>
      <c r="F6" s="7" t="s">
        <v>428</v>
      </c>
    </row>
    <row r="7" spans="1:6" x14ac:dyDescent="0.3">
      <c r="A7" s="44" t="s">
        <v>429</v>
      </c>
      <c r="B7" s="45">
        <f>'EU ETS'!$B$16</f>
        <v>7408.9691399999992</v>
      </c>
      <c r="C7" s="46">
        <v>7409</v>
      </c>
      <c r="D7" s="47">
        <f t="shared" ref="D7:D39" si="0">B7-C7</f>
        <v>-3.0860000000757282E-2</v>
      </c>
      <c r="E7" s="46">
        <v>0.1</v>
      </c>
      <c r="F7" s="48" t="str">
        <f t="shared" ref="F7:F39" si="1">IF(ABS(D7)&lt;=E7+0.5*10^-6*ABS(C7),"PASS","FAIL")</f>
        <v>PASS</v>
      </c>
    </row>
    <row r="8" spans="1:6" x14ac:dyDescent="0.3">
      <c r="A8" s="44" t="s">
        <v>430</v>
      </c>
      <c r="B8" s="45">
        <f>'EU ETS'!$B$20</f>
        <v>5186.2783980000004</v>
      </c>
      <c r="C8" s="46">
        <v>5186.3</v>
      </c>
      <c r="D8" s="47">
        <f t="shared" si="0"/>
        <v>-2.1601999999802501E-2</v>
      </c>
      <c r="E8" s="46">
        <v>0.1</v>
      </c>
      <c r="F8" s="48" t="str">
        <f t="shared" si="1"/>
        <v>PASS</v>
      </c>
    </row>
    <row r="9" spans="1:6" x14ac:dyDescent="0.3">
      <c r="A9" s="44" t="s">
        <v>431</v>
      </c>
      <c r="B9" s="45">
        <f>'EU ETS'!$B$21</f>
        <v>440833.66383000003</v>
      </c>
      <c r="C9" s="46">
        <v>440834</v>
      </c>
      <c r="D9" s="47">
        <f t="shared" si="0"/>
        <v>-0.33616999996593222</v>
      </c>
      <c r="E9" s="46">
        <v>1</v>
      </c>
      <c r="F9" s="48" t="str">
        <f t="shared" si="1"/>
        <v>PASS</v>
      </c>
    </row>
    <row r="10" spans="1:6" x14ac:dyDescent="0.3">
      <c r="A10" s="44" t="s">
        <v>432</v>
      </c>
      <c r="B10" s="45">
        <f>'EU ETS'!$B$31</f>
        <v>9489.3000000000011</v>
      </c>
      <c r="C10" s="46">
        <v>9489.2999999999993</v>
      </c>
      <c r="D10" s="47">
        <f t="shared" si="0"/>
        <v>0</v>
      </c>
      <c r="E10" s="46">
        <v>0.1</v>
      </c>
      <c r="F10" s="48" t="str">
        <f t="shared" si="1"/>
        <v>PASS</v>
      </c>
    </row>
    <row r="11" spans="1:6" x14ac:dyDescent="0.3">
      <c r="A11" s="44" t="s">
        <v>433</v>
      </c>
      <c r="B11" s="45">
        <f>'EU ETS'!$B$34</f>
        <v>806590.50000000012</v>
      </c>
      <c r="C11" s="46">
        <v>806590</v>
      </c>
      <c r="D11" s="47">
        <f t="shared" si="0"/>
        <v>0.50000000011641532</v>
      </c>
      <c r="E11" s="46">
        <v>1</v>
      </c>
      <c r="F11" s="48" t="str">
        <f t="shared" si="1"/>
        <v>PASS</v>
      </c>
    </row>
    <row r="12" spans="1:6" x14ac:dyDescent="0.3">
      <c r="A12" s="44" t="s">
        <v>434</v>
      </c>
      <c r="B12" s="45">
        <f>FuelEU!$B$9</f>
        <v>121500000</v>
      </c>
      <c r="C12" s="46">
        <v>121500000</v>
      </c>
      <c r="D12" s="47">
        <f t="shared" si="0"/>
        <v>0</v>
      </c>
      <c r="E12" s="46">
        <v>1</v>
      </c>
      <c r="F12" s="48" t="str">
        <f t="shared" si="1"/>
        <v>PASS</v>
      </c>
    </row>
    <row r="13" spans="1:6" x14ac:dyDescent="0.3">
      <c r="A13" s="44" t="s">
        <v>435</v>
      </c>
      <c r="B13" s="45">
        <f>FuelEU!$B$14</f>
        <v>-291.98879999999974</v>
      </c>
      <c r="C13" s="46">
        <v>-292</v>
      </c>
      <c r="D13" s="47">
        <f t="shared" si="0"/>
        <v>1.1200000000258115E-2</v>
      </c>
      <c r="E13" s="46">
        <v>0.1</v>
      </c>
      <c r="F13" s="48" t="str">
        <f t="shared" si="1"/>
        <v>PASS</v>
      </c>
    </row>
    <row r="14" spans="1:6" x14ac:dyDescent="0.3">
      <c r="A14" s="44" t="s">
        <v>436</v>
      </c>
      <c r="B14" s="45">
        <f>FuelEU!$B$17</f>
        <v>186309.4322767948</v>
      </c>
      <c r="C14" s="46">
        <v>186309</v>
      </c>
      <c r="D14" s="47">
        <f t="shared" si="0"/>
        <v>0.43227679480332881</v>
      </c>
      <c r="E14" s="46">
        <v>1</v>
      </c>
      <c r="F14" s="48" t="str">
        <f t="shared" si="1"/>
        <v>PASS</v>
      </c>
    </row>
    <row r="15" spans="1:6" x14ac:dyDescent="0.3">
      <c r="A15" s="44" t="s">
        <v>437</v>
      </c>
      <c r="B15" s="45">
        <f>FuelEU!$B$18</f>
        <v>32118.767999999971</v>
      </c>
      <c r="C15" s="46">
        <v>32119</v>
      </c>
      <c r="D15" s="47">
        <f t="shared" si="0"/>
        <v>-0.23200000002907473</v>
      </c>
      <c r="E15" s="46">
        <v>1</v>
      </c>
      <c r="F15" s="48" t="str">
        <f t="shared" si="1"/>
        <v>PASS</v>
      </c>
    </row>
    <row r="16" spans="1:6" x14ac:dyDescent="0.3">
      <c r="A16" s="44" t="s">
        <v>438</v>
      </c>
      <c r="B16" s="45">
        <f>FuelEU!$B$15</f>
        <v>638.07047488395096</v>
      </c>
      <c r="C16" s="46">
        <v>638.07000000000005</v>
      </c>
      <c r="D16" s="47">
        <f t="shared" si="0"/>
        <v>4.7488395091477287E-4</v>
      </c>
      <c r="E16" s="46">
        <v>0.01</v>
      </c>
      <c r="F16" s="48" t="str">
        <f t="shared" si="1"/>
        <v>PASS</v>
      </c>
    </row>
    <row r="17" spans="1:6" x14ac:dyDescent="0.3">
      <c r="A17" s="44" t="s">
        <v>439</v>
      </c>
      <c r="B17" s="45">
        <f>FuelEU!$B$25</f>
        <v>96359425.231213868</v>
      </c>
      <c r="C17" s="46">
        <v>96359425</v>
      </c>
      <c r="D17" s="47">
        <f t="shared" si="0"/>
        <v>0.23121386766433716</v>
      </c>
      <c r="E17" s="46">
        <v>1</v>
      </c>
      <c r="F17" s="48" t="str">
        <f t="shared" si="1"/>
        <v>PASS</v>
      </c>
    </row>
    <row r="18" spans="1:6" x14ac:dyDescent="0.3">
      <c r="A18" s="44" t="s">
        <v>440</v>
      </c>
      <c r="B18" s="45">
        <f>FuelEU!$B$30</f>
        <v>-231.570970715653</v>
      </c>
      <c r="C18" s="46">
        <v>-231.6</v>
      </c>
      <c r="D18" s="47">
        <f t="shared" si="0"/>
        <v>2.9029284346989925E-2</v>
      </c>
      <c r="E18" s="46">
        <v>0.1</v>
      </c>
      <c r="F18" s="48" t="str">
        <f t="shared" si="1"/>
        <v>PASS</v>
      </c>
    </row>
    <row r="19" spans="1:6" x14ac:dyDescent="0.3">
      <c r="A19" s="44" t="s">
        <v>441</v>
      </c>
      <c r="B19" s="45">
        <f>FuelEU!$B$33</f>
        <v>147758.59925387421</v>
      </c>
      <c r="C19" s="46">
        <v>147759</v>
      </c>
      <c r="D19" s="47">
        <f t="shared" si="0"/>
        <v>-0.40074612578609958</v>
      </c>
      <c r="E19" s="46">
        <v>1</v>
      </c>
      <c r="F19" s="48" t="str">
        <f t="shared" si="1"/>
        <v>PASS</v>
      </c>
    </row>
    <row r="20" spans="1:6" x14ac:dyDescent="0.3">
      <c r="A20" s="44" t="s">
        <v>442</v>
      </c>
      <c r="B20" s="45">
        <f>FuelEU!$B$34</f>
        <v>25472.806778721832</v>
      </c>
      <c r="C20" s="46">
        <v>25473</v>
      </c>
      <c r="D20" s="47">
        <f t="shared" si="0"/>
        <v>-0.19322127816849388</v>
      </c>
      <c r="E20" s="46">
        <v>1</v>
      </c>
      <c r="F20" s="48" t="str">
        <f t="shared" si="1"/>
        <v>PASS</v>
      </c>
    </row>
    <row r="21" spans="1:6" x14ac:dyDescent="0.3">
      <c r="A21" s="44" t="s">
        <v>443</v>
      </c>
      <c r="B21" s="45">
        <f>CII!$B$11</f>
        <v>3.7368000000000001</v>
      </c>
      <c r="C21" s="46">
        <v>3.7370000000000001</v>
      </c>
      <c r="D21" s="47">
        <f t="shared" si="0"/>
        <v>-1.9999999999997797E-4</v>
      </c>
      <c r="E21" s="46">
        <v>5.0000000000000001E-4</v>
      </c>
      <c r="F21" s="48" t="str">
        <f t="shared" si="1"/>
        <v>PASS</v>
      </c>
    </row>
    <row r="22" spans="1:6" x14ac:dyDescent="0.3">
      <c r="A22" s="44" t="s">
        <v>444</v>
      </c>
      <c r="B22" s="45">
        <f>CII!$B$14</f>
        <v>5.0450663324961802</v>
      </c>
      <c r="C22" s="46">
        <v>5.0449999999999999</v>
      </c>
      <c r="D22" s="47">
        <f t="shared" si="0"/>
        <v>6.6332496180265821E-5</v>
      </c>
      <c r="E22" s="46">
        <v>5.0000000000000001E-4</v>
      </c>
      <c r="F22" s="48" t="str">
        <f t="shared" si="1"/>
        <v>PASS</v>
      </c>
    </row>
    <row r="23" spans="1:6" x14ac:dyDescent="0.3">
      <c r="A23" s="44" t="s">
        <v>445</v>
      </c>
      <c r="B23" s="45">
        <f>CII!$B$28</f>
        <v>4.573225806451612</v>
      </c>
      <c r="C23" s="46">
        <v>4.5730000000000004</v>
      </c>
      <c r="D23" s="47">
        <f t="shared" si="0"/>
        <v>2.2580645161163204E-4</v>
      </c>
      <c r="E23" s="46">
        <v>5.0000000000000001E-4</v>
      </c>
      <c r="F23" s="48" t="str">
        <f t="shared" si="1"/>
        <v>PASS</v>
      </c>
    </row>
    <row r="24" spans="1:6" x14ac:dyDescent="0.3">
      <c r="A24" s="44" t="s">
        <v>446</v>
      </c>
      <c r="B24" s="45">
        <f>CII!$B$31</f>
        <v>3.5065595209222788</v>
      </c>
      <c r="C24" s="46">
        <v>3.5070000000000001</v>
      </c>
      <c r="D24" s="47">
        <f t="shared" si="0"/>
        <v>-4.4047907772126749E-4</v>
      </c>
      <c r="E24" s="46">
        <v>5.0000000000000001E-4</v>
      </c>
      <c r="F24" s="48" t="str">
        <f t="shared" si="1"/>
        <v>PASS</v>
      </c>
    </row>
    <row r="25" spans="1:6" x14ac:dyDescent="0.3">
      <c r="A25" s="44" t="s">
        <v>447</v>
      </c>
      <c r="B25" s="45">
        <f>'CII G5'!$B$15</f>
        <v>6.2232523956000003</v>
      </c>
      <c r="C25" s="46">
        <v>6.2229999999999999</v>
      </c>
      <c r="D25" s="47">
        <f t="shared" si="0"/>
        <v>2.5239560000045458E-4</v>
      </c>
      <c r="E25" s="46">
        <v>5.0000000000000001E-4</v>
      </c>
      <c r="F25" s="48" t="str">
        <f t="shared" si="1"/>
        <v>PASS</v>
      </c>
    </row>
    <row r="26" spans="1:6" x14ac:dyDescent="0.3">
      <c r="A26" s="44" t="s">
        <v>448</v>
      </c>
      <c r="B26" s="45">
        <f>'CII G5'!$B$17</f>
        <v>8.8947826924180262</v>
      </c>
      <c r="C26" s="46">
        <v>8.8949999999999996</v>
      </c>
      <c r="D26" s="47">
        <f t="shared" si="0"/>
        <v>-2.1730758197335831E-4</v>
      </c>
      <c r="E26" s="46">
        <v>5.0000000000000001E-4</v>
      </c>
      <c r="F26" s="48" t="str">
        <f t="shared" si="1"/>
        <v>PASS</v>
      </c>
    </row>
    <row r="27" spans="1:6" x14ac:dyDescent="0.3">
      <c r="A27" s="44" t="s">
        <v>449</v>
      </c>
      <c r="B27" s="45">
        <f>EEXI!$B$9</f>
        <v>3.2824935229771803</v>
      </c>
      <c r="C27" s="46">
        <v>3.28</v>
      </c>
      <c r="D27" s="47">
        <f t="shared" si="0"/>
        <v>2.493522977180529E-3</v>
      </c>
      <c r="E27" s="46">
        <v>5.0000000000000001E-3</v>
      </c>
      <c r="F27" s="48" t="str">
        <f t="shared" si="1"/>
        <v>PASS</v>
      </c>
    </row>
    <row r="28" spans="1:6" x14ac:dyDescent="0.3">
      <c r="A28" s="44" t="s">
        <v>450</v>
      </c>
      <c r="B28" s="45">
        <f>'Own data bill'!$B$17</f>
        <v>8840.8644999999997</v>
      </c>
      <c r="C28" s="46">
        <v>8840.9</v>
      </c>
      <c r="D28" s="47">
        <f t="shared" si="0"/>
        <v>-3.5499999999956344E-2</v>
      </c>
      <c r="E28" s="46">
        <v>0.1</v>
      </c>
      <c r="F28" s="48" t="str">
        <f t="shared" si="1"/>
        <v>PASS</v>
      </c>
    </row>
    <row r="29" spans="1:6" x14ac:dyDescent="0.3">
      <c r="A29" s="44" t="s">
        <v>451</v>
      </c>
      <c r="B29" s="45">
        <f>'Own data bill'!$B$18</f>
        <v>751473.48249999993</v>
      </c>
      <c r="C29" s="46">
        <v>751473</v>
      </c>
      <c r="D29" s="47">
        <f t="shared" si="0"/>
        <v>0.48249999992549419</v>
      </c>
      <c r="E29" s="46">
        <v>1</v>
      </c>
      <c r="F29" s="48" t="str">
        <f t="shared" si="1"/>
        <v>PASS</v>
      </c>
    </row>
    <row r="30" spans="1:6" x14ac:dyDescent="0.3">
      <c r="A30" s="44" t="s">
        <v>452</v>
      </c>
      <c r="B30" s="45">
        <f>'Own data bill'!$B$21</f>
        <v>27202.66</v>
      </c>
      <c r="C30" s="46">
        <v>27203</v>
      </c>
      <c r="D30" s="47">
        <f t="shared" si="0"/>
        <v>-0.34000000000014552</v>
      </c>
      <c r="E30" s="46">
        <v>1</v>
      </c>
      <c r="F30" s="48" t="str">
        <f t="shared" si="1"/>
        <v>PASS</v>
      </c>
    </row>
    <row r="31" spans="1:6" x14ac:dyDescent="0.3">
      <c r="A31" s="44" t="s">
        <v>453</v>
      </c>
      <c r="B31" s="45">
        <f>'Own data bill'!$B$24</f>
        <v>-272.03623199999981</v>
      </c>
      <c r="C31" s="46">
        <v>-272</v>
      </c>
      <c r="D31" s="47">
        <f t="shared" si="0"/>
        <v>-3.6231999999813524E-2</v>
      </c>
      <c r="E31" s="46">
        <v>0.1</v>
      </c>
      <c r="F31" s="48" t="str">
        <f t="shared" si="1"/>
        <v>PASS</v>
      </c>
    </row>
    <row r="32" spans="1:6" x14ac:dyDescent="0.3">
      <c r="A32" s="44" t="s">
        <v>454</v>
      </c>
      <c r="B32" s="45">
        <f>'Own data bill'!$B$25</f>
        <v>173578.28773788054</v>
      </c>
      <c r="C32" s="46">
        <v>173578</v>
      </c>
      <c r="D32" s="47">
        <f t="shared" si="0"/>
        <v>0.28773788054240867</v>
      </c>
      <c r="E32" s="46">
        <v>1</v>
      </c>
      <c r="F32" s="48" t="str">
        <f t="shared" si="1"/>
        <v>PASS</v>
      </c>
    </row>
    <row r="33" spans="1:6" x14ac:dyDescent="0.3">
      <c r="A33" s="44" t="s">
        <v>455</v>
      </c>
      <c r="B33" s="45">
        <f>'Own data bill'!$B$26</f>
        <v>29923.98551999998</v>
      </c>
      <c r="C33" s="46">
        <v>29924</v>
      </c>
      <c r="D33" s="47">
        <f t="shared" si="0"/>
        <v>-1.4480000019830186E-2</v>
      </c>
      <c r="E33" s="46">
        <v>1</v>
      </c>
      <c r="F33" s="48" t="str">
        <f t="shared" si="1"/>
        <v>PASS</v>
      </c>
    </row>
    <row r="34" spans="1:6" x14ac:dyDescent="0.3">
      <c r="A34" s="44" t="s">
        <v>456</v>
      </c>
      <c r="B34" s="45">
        <f>'Charter split'!$B$11</f>
        <v>184</v>
      </c>
      <c r="C34" s="46">
        <v>184</v>
      </c>
      <c r="D34" s="47">
        <f t="shared" si="0"/>
        <v>0</v>
      </c>
      <c r="E34" s="46">
        <v>0</v>
      </c>
      <c r="F34" s="48" t="str">
        <f t="shared" si="1"/>
        <v>PASS</v>
      </c>
    </row>
    <row r="35" spans="1:6" x14ac:dyDescent="0.3">
      <c r="A35" s="44" t="s">
        <v>457</v>
      </c>
      <c r="B35" s="45">
        <f>'Charter split'!$B$14</f>
        <v>50411</v>
      </c>
      <c r="C35" s="46">
        <v>50411</v>
      </c>
      <c r="D35" s="47">
        <f t="shared" si="0"/>
        <v>0</v>
      </c>
      <c r="E35" s="46">
        <v>0</v>
      </c>
      <c r="F35" s="48" t="str">
        <f t="shared" si="1"/>
        <v>PASS</v>
      </c>
    </row>
    <row r="36" spans="1:6" x14ac:dyDescent="0.3">
      <c r="A36" s="44" t="s">
        <v>458</v>
      </c>
      <c r="B36" s="45">
        <f>'What-if'!$B$12</f>
        <v>0.81</v>
      </c>
      <c r="C36" s="46">
        <v>0.81</v>
      </c>
      <c r="D36" s="47">
        <f t="shared" si="0"/>
        <v>0</v>
      </c>
      <c r="E36" s="46">
        <v>1E-4</v>
      </c>
      <c r="F36" s="48" t="str">
        <f t="shared" si="1"/>
        <v>PASS</v>
      </c>
    </row>
    <row r="37" spans="1:6" x14ac:dyDescent="0.3">
      <c r="A37" s="44" t="s">
        <v>459</v>
      </c>
      <c r="B37" s="45">
        <f>'IMO NZF'!$B$14</f>
        <v>247648.58999999991</v>
      </c>
      <c r="C37" s="46">
        <v>247649</v>
      </c>
      <c r="D37" s="47">
        <f t="shared" si="0"/>
        <v>-0.41000000009080395</v>
      </c>
      <c r="E37" s="46">
        <v>5</v>
      </c>
      <c r="F37" s="48" t="str">
        <f t="shared" si="1"/>
        <v>PASS</v>
      </c>
    </row>
    <row r="38" spans="1:6" x14ac:dyDescent="0.3">
      <c r="A38" s="44" t="s">
        <v>460</v>
      </c>
      <c r="B38" s="45">
        <f>'Ship check'!$B$15</f>
        <v>440833.66382999998</v>
      </c>
      <c r="C38" s="46">
        <v>440834</v>
      </c>
      <c r="D38" s="47">
        <f t="shared" si="0"/>
        <v>-0.33617000002413988</v>
      </c>
      <c r="E38" s="46">
        <v>1</v>
      </c>
      <c r="F38" s="48" t="str">
        <f t="shared" si="1"/>
        <v>PASS</v>
      </c>
    </row>
    <row r="39" spans="1:6" x14ac:dyDescent="0.3">
      <c r="A39" s="44" t="s">
        <v>461</v>
      </c>
      <c r="B39" s="45">
        <f>'Ship check'!$B$17</f>
        <v>147758.59925387418</v>
      </c>
      <c r="C39" s="46">
        <v>147759</v>
      </c>
      <c r="D39" s="47">
        <f t="shared" si="0"/>
        <v>-0.40074612581520341</v>
      </c>
      <c r="E39" s="46">
        <v>1</v>
      </c>
      <c r="F39" s="48" t="str">
        <f t="shared" si="1"/>
        <v>PASS</v>
      </c>
    </row>
    <row r="40" spans="1:6" x14ac:dyDescent="0.3">
      <c r="A40" s="44" t="s">
        <v>462</v>
      </c>
      <c r="B40" s="19" t="str">
        <f>CII!$B$20</f>
        <v>A</v>
      </c>
      <c r="C40" s="49" t="s">
        <v>463</v>
      </c>
      <c r="D40" s="50"/>
      <c r="E40" s="50"/>
      <c r="F40" s="48" t="str">
        <f>IF(B40=C40,"PASS","FAIL")</f>
        <v>PASS</v>
      </c>
    </row>
    <row r="41" spans="1:6" x14ac:dyDescent="0.3">
      <c r="A41" s="44" t="s">
        <v>464</v>
      </c>
      <c r="B41" s="19" t="str">
        <f>CII!$B$37</f>
        <v>E</v>
      </c>
      <c r="C41" s="49" t="s">
        <v>465</v>
      </c>
      <c r="D41" s="50"/>
      <c r="E41" s="50"/>
      <c r="F41" s="48" t="str">
        <f>IF(B41=C41,"PASS","FAIL")</f>
        <v>PASS</v>
      </c>
    </row>
    <row r="42" spans="1:6" x14ac:dyDescent="0.3">
      <c r="A42" s="44" t="s">
        <v>466</v>
      </c>
      <c r="B42" s="19" t="str">
        <f>EEXI!$B$12</f>
        <v>COMPLIANT</v>
      </c>
      <c r="C42" s="49" t="s">
        <v>467</v>
      </c>
      <c r="D42" s="50"/>
      <c r="E42" s="50"/>
      <c r="F42" s="48" t="str">
        <f>IF(B42=C42,"PASS","FAIL")</f>
        <v>PASS</v>
      </c>
    </row>
    <row r="44" spans="1:6" x14ac:dyDescent="0.3">
      <c r="A44" s="51" t="s">
        <v>468</v>
      </c>
      <c r="B44" s="52" t="str">
        <f>COUNTIF(F7:F42,"PASS")&amp;" of "&amp;COUNTA(F7:F42)</f>
        <v>36 of 36</v>
      </c>
    </row>
  </sheetData>
  <mergeCells count="1">
    <mergeCell ref="A2:F2"/>
  </mergeCells>
  <conditionalFormatting sqref="F7:F42">
    <cfRule type="cellIs" dxfId="1" priority="1" operator="equal">
      <formula>"PASS"</formula>
    </cfRule>
    <cfRule type="cellIs" dxfId="0" priority="2" operator="equal">
      <formula>"FAIL"</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 me</vt:lpstr>
      <vt:lpstr>Assumptions</vt:lpstr>
      <vt:lpstr>Rule tables</vt:lpstr>
      <vt:lpstr>EU ETS</vt:lpstr>
      <vt:lpstr>FuelEU</vt:lpstr>
      <vt:lpstr>CII</vt:lpstr>
      <vt:lpstr>CII G5</vt:lpstr>
      <vt:lpstr>EEXI</vt:lpstr>
      <vt:lpstr>Own data bill</vt:lpstr>
      <vt:lpstr>Charter split</vt:lpstr>
      <vt:lpstr>What-if</vt:lpstr>
      <vt:lpstr>IMO NZF</vt:lpstr>
      <vt:lpstr>Ship check</vt:lpstr>
      <vt:lpstr>Cross-check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Prayag</cp:lastModifiedBy>
  <dcterms:created xsi:type="dcterms:W3CDTF">2026-10-17T14:54:40Z</dcterms:created>
  <dcterms:modified xsi:type="dcterms:W3CDTF">2026-10-17T14:54:57Z</dcterms:modified>
</cp:coreProperties>
</file>