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rayag Raviprakash\Desktop\Claude Projects\ghg-platform\docs\"/>
    </mc:Choice>
  </mc:AlternateContent>
  <xr:revisionPtr revIDLastSave="0" documentId="13_ncr:1_{3CD8FC9E-026F-40D0-8406-B65B40C1730D}" xr6:coauthVersionLast="47" xr6:coauthVersionMax="47" xr10:uidLastSave="{00000000-0000-0000-0000-000000000000}"/>
  <bookViews>
    <workbookView xWindow="-108" yWindow="-108" windowWidth="23256" windowHeight="12456" xr2:uid="{00000000-000D-0000-FFFF-FFFF00000000}"/>
  </bookViews>
  <sheets>
    <sheet name="Read me" sheetId="1" r:id="rId1"/>
    <sheet name="Assumptions" sheetId="2" r:id="rId2"/>
    <sheet name="Rule tables" sheetId="3" r:id="rId3"/>
    <sheet name="EU ETS" sheetId="4" r:id="rId4"/>
    <sheet name="FuelEU" sheetId="5" r:id="rId5"/>
    <sheet name="COOL MAGNUS" sheetId="6" r:id="rId6"/>
    <sheet name="CII" sheetId="7" r:id="rId7"/>
    <sheet name="CII G5" sheetId="8" r:id="rId8"/>
    <sheet name="EEXI" sheetId="9" r:id="rId9"/>
    <sheet name="Own data bill" sheetId="10" r:id="rId10"/>
    <sheet name="Charter split" sheetId="11" r:id="rId11"/>
    <sheet name="What-if" sheetId="12" r:id="rId12"/>
    <sheet name="IMO NZF" sheetId="13" r:id="rId13"/>
    <sheet name="Ship check" sheetId="14" r:id="rId14"/>
    <sheet name="Cross-check" sheetId="15" r:id="rId15"/>
  </sheets>
  <calcPr calcId="191029"/>
</workbook>
</file>

<file path=xl/calcChain.xml><?xml version="1.0" encoding="utf-8"?>
<calcChain xmlns="http://schemas.openxmlformats.org/spreadsheetml/2006/main">
  <c r="B18" i="14" l="1"/>
  <c r="B14" i="14"/>
  <c r="B13" i="14"/>
  <c r="B19" i="14" s="1"/>
  <c r="B11" i="13"/>
  <c r="B10" i="13"/>
  <c r="B9" i="13"/>
  <c r="B8" i="13"/>
  <c r="B20" i="12"/>
  <c r="B19" i="12"/>
  <c r="B11" i="12"/>
  <c r="B10" i="12"/>
  <c r="B12" i="12" s="1"/>
  <c r="B36" i="15" s="1"/>
  <c r="D36" i="15" s="1"/>
  <c r="F36" i="15" s="1"/>
  <c r="B12" i="11"/>
  <c r="B11" i="11"/>
  <c r="B34" i="15" s="1"/>
  <c r="D34" i="15" s="1"/>
  <c r="F34" i="15" s="1"/>
  <c r="B9" i="11"/>
  <c r="B8" i="11"/>
  <c r="B19" i="10"/>
  <c r="B16" i="10"/>
  <c r="B23" i="10" s="1"/>
  <c r="B24" i="10" s="1"/>
  <c r="B15" i="10"/>
  <c r="B14" i="10"/>
  <c r="B8" i="9"/>
  <c r="B9" i="9" s="1"/>
  <c r="B17" i="8"/>
  <c r="B26" i="15" s="1"/>
  <c r="D26" i="15" s="1"/>
  <c r="F26" i="15" s="1"/>
  <c r="B16" i="8"/>
  <c r="B13" i="8"/>
  <c r="B14" i="8" s="1"/>
  <c r="B15" i="8" s="1"/>
  <c r="B25" i="15" s="1"/>
  <c r="D25" i="15" s="1"/>
  <c r="F25" i="15" s="1"/>
  <c r="B12" i="8"/>
  <c r="B30" i="7"/>
  <c r="B31" i="7" s="1"/>
  <c r="B29" i="7"/>
  <c r="B25" i="7"/>
  <c r="B28" i="7" s="1"/>
  <c r="B13" i="7"/>
  <c r="B12" i="7"/>
  <c r="B14" i="7" s="1"/>
  <c r="B8" i="7"/>
  <c r="B11" i="7" s="1"/>
  <c r="B46" i="6"/>
  <c r="B47" i="6" s="1"/>
  <c r="B33" i="6"/>
  <c r="B32" i="6"/>
  <c r="B43" i="15" s="1"/>
  <c r="D43" i="15" s="1"/>
  <c r="F43" i="15" s="1"/>
  <c r="B25" i="6"/>
  <c r="B24" i="6"/>
  <c r="B23" i="6"/>
  <c r="B18" i="6"/>
  <c r="B19" i="6" s="1"/>
  <c r="B48" i="5"/>
  <c r="B43" i="5"/>
  <c r="B44" i="5" s="1"/>
  <c r="B36" i="5"/>
  <c r="B32" i="5"/>
  <c r="B34" i="5" s="1"/>
  <c r="B24" i="5"/>
  <c r="B19" i="5"/>
  <c r="B20" i="5" s="1"/>
  <c r="B8" i="5"/>
  <c r="B12" i="5" s="1"/>
  <c r="B32" i="4"/>
  <c r="B30" i="4"/>
  <c r="B29" i="4"/>
  <c r="B28" i="4"/>
  <c r="B19" i="4"/>
  <c r="B15" i="4"/>
  <c r="B14" i="4"/>
  <c r="B13" i="4"/>
  <c r="B16" i="4" s="1"/>
  <c r="B12" i="13" l="1"/>
  <c r="B17" i="10"/>
  <c r="B28" i="15" s="1"/>
  <c r="D28" i="15" s="1"/>
  <c r="F28" i="15" s="1"/>
  <c r="B39" i="6"/>
  <c r="B20" i="10"/>
  <c r="B21" i="10" s="1"/>
  <c r="B13" i="13"/>
  <c r="B14" i="13" s="1"/>
  <c r="B37" i="15" s="1"/>
  <c r="D37" i="15" s="1"/>
  <c r="F37" i="15" s="1"/>
  <c r="B34" i="6"/>
  <c r="B38" i="6" s="1"/>
  <c r="B31" i="4"/>
  <c r="B26" i="6"/>
  <c r="B45" i="6" s="1"/>
  <c r="B33" i="4"/>
  <c r="B34" i="4" s="1"/>
  <c r="B11" i="15" s="1"/>
  <c r="D11" i="15" s="1"/>
  <c r="F11" i="15" s="1"/>
  <c r="B10" i="15"/>
  <c r="D10" i="15" s="1"/>
  <c r="F10" i="15" s="1"/>
  <c r="B41" i="15"/>
  <c r="D41" i="15" s="1"/>
  <c r="F41" i="15" s="1"/>
  <c r="B30" i="6"/>
  <c r="B31" i="6" s="1"/>
  <c r="B42" i="15" s="1"/>
  <c r="D42" i="15" s="1"/>
  <c r="F42" i="15" s="1"/>
  <c r="B12" i="9"/>
  <c r="B50" i="15" s="1"/>
  <c r="F50" i="15" s="1"/>
  <c r="B11" i="9"/>
  <c r="B27" i="15"/>
  <c r="D27" i="15" s="1"/>
  <c r="F27" i="15" s="1"/>
  <c r="B47" i="15"/>
  <c r="D47" i="15" s="1"/>
  <c r="F47" i="15" s="1"/>
  <c r="B37" i="5"/>
  <c r="B35" i="5"/>
  <c r="B21" i="15"/>
  <c r="D21" i="15" s="1"/>
  <c r="F21" i="15" s="1"/>
  <c r="B48" i="7"/>
  <c r="B15" i="7"/>
  <c r="B20" i="7" s="1"/>
  <c r="B48" i="15" s="1"/>
  <c r="F48" i="15" s="1"/>
  <c r="B46" i="7"/>
  <c r="B42" i="7"/>
  <c r="B47" i="7"/>
  <c r="B41" i="7"/>
  <c r="B45" i="7"/>
  <c r="B44" i="7"/>
  <c r="B43" i="7"/>
  <c r="B25" i="10"/>
  <c r="B32" i="15" s="1"/>
  <c r="D32" i="15" s="1"/>
  <c r="F32" i="15" s="1"/>
  <c r="B26" i="10"/>
  <c r="B33" i="15" s="1"/>
  <c r="D33" i="15" s="1"/>
  <c r="F33" i="15" s="1"/>
  <c r="B31" i="15"/>
  <c r="D31" i="15" s="1"/>
  <c r="F31" i="15" s="1"/>
  <c r="B17" i="4"/>
  <c r="B18" i="4" s="1"/>
  <c r="B7" i="15"/>
  <c r="D7" i="15" s="1"/>
  <c r="F7" i="15" s="1"/>
  <c r="B16" i="7"/>
  <c r="B22" i="15"/>
  <c r="D22" i="15" s="1"/>
  <c r="F22" i="15" s="1"/>
  <c r="B17" i="7"/>
  <c r="B19" i="7"/>
  <c r="B18" i="7"/>
  <c r="B32" i="7"/>
  <c r="B37" i="7" s="1"/>
  <c r="B49" i="15" s="1"/>
  <c r="F49" i="15" s="1"/>
  <c r="B23" i="15"/>
  <c r="D23" i="15" s="1"/>
  <c r="F23" i="15" s="1"/>
  <c r="B30" i="15"/>
  <c r="D30" i="15" s="1"/>
  <c r="F30" i="15" s="1"/>
  <c r="B22" i="10"/>
  <c r="B20" i="14"/>
  <c r="B21" i="14" s="1"/>
  <c r="B22" i="14" s="1"/>
  <c r="B35" i="7"/>
  <c r="B34" i="7"/>
  <c r="B33" i="7"/>
  <c r="B24" i="15"/>
  <c r="D24" i="15" s="1"/>
  <c r="F24" i="15" s="1"/>
  <c r="B36" i="7"/>
  <c r="B13" i="11"/>
  <c r="B14" i="11" s="1"/>
  <c r="B18" i="10"/>
  <c r="B10" i="5"/>
  <c r="B11" i="5" s="1"/>
  <c r="B15" i="14"/>
  <c r="B22" i="4" l="1"/>
  <c r="B20" i="4"/>
  <c r="B23" i="14"/>
  <c r="B39" i="15" s="1"/>
  <c r="D39" i="15" s="1"/>
  <c r="F39" i="15" s="1"/>
  <c r="B24" i="14"/>
  <c r="B41" i="6"/>
  <c r="B46" i="15" s="1"/>
  <c r="D46" i="15" s="1"/>
  <c r="F46" i="15" s="1"/>
  <c r="B40" i="6"/>
  <c r="B44" i="15"/>
  <c r="D44" i="15" s="1"/>
  <c r="F44" i="15" s="1"/>
  <c r="B13" i="5"/>
  <c r="B38" i="15"/>
  <c r="D38" i="15" s="1"/>
  <c r="F38" i="15" s="1"/>
  <c r="B29" i="15"/>
  <c r="D29" i="15" s="1"/>
  <c r="F29" i="15" s="1"/>
  <c r="B28" i="10"/>
  <c r="B27" i="10"/>
  <c r="B38" i="5"/>
  <c r="B39" i="5"/>
  <c r="B35" i="15"/>
  <c r="D35" i="15" s="1"/>
  <c r="F35" i="15" s="1"/>
  <c r="B15" i="11"/>
  <c r="B25" i="14" l="1"/>
  <c r="B14" i="5"/>
  <c r="B15" i="5"/>
  <c r="B45" i="15"/>
  <c r="D45" i="15" s="1"/>
  <c r="F45" i="15" s="1"/>
  <c r="B48" i="6"/>
  <c r="B41" i="5"/>
  <c r="B40" i="5"/>
  <c r="B17" i="15" s="1"/>
  <c r="D17" i="15" s="1"/>
  <c r="F17" i="15" s="1"/>
  <c r="B21" i="4"/>
  <c r="B9" i="15" s="1"/>
  <c r="D9" i="15" s="1"/>
  <c r="F9" i="15" s="1"/>
  <c r="B8" i="15"/>
  <c r="D8" i="15" s="1"/>
  <c r="F8" i="15" s="1"/>
  <c r="B42" i="5" l="1"/>
  <c r="B40" i="15"/>
  <c r="D40" i="15" s="1"/>
  <c r="F40" i="15" s="1"/>
  <c r="B47" i="5"/>
  <c r="B45" i="5"/>
  <c r="B17" i="5"/>
  <c r="B16" i="5"/>
  <c r="B12" i="15" s="1"/>
  <c r="D12" i="15" s="1"/>
  <c r="F12" i="15" s="1"/>
  <c r="B49" i="5" l="1"/>
  <c r="B46" i="5"/>
  <c r="B18" i="5"/>
  <c r="B23" i="5" l="1"/>
  <c r="B16" i="15" s="1"/>
  <c r="D16" i="15" s="1"/>
  <c r="F16" i="15" s="1"/>
  <c r="B21" i="5"/>
  <c r="B50" i="5"/>
  <c r="B20" i="15" s="1"/>
  <c r="D20" i="15" s="1"/>
  <c r="F20" i="15" s="1"/>
  <c r="B18" i="15"/>
  <c r="D18" i="15" s="1"/>
  <c r="F18" i="15" s="1"/>
  <c r="B19" i="15"/>
  <c r="D19" i="15" s="1"/>
  <c r="F19" i="15" s="1"/>
  <c r="B51" i="5" l="1"/>
  <c r="B25" i="5"/>
  <c r="B22" i="5"/>
  <c r="B26" i="5" l="1"/>
  <c r="B15" i="15" s="1"/>
  <c r="D15" i="15" s="1"/>
  <c r="F15" i="15" s="1"/>
  <c r="B13" i="15"/>
  <c r="D13" i="15" s="1"/>
  <c r="F13" i="15" s="1"/>
  <c r="B52" i="15" s="1"/>
  <c r="B14" i="15"/>
  <c r="D14" i="15" s="1"/>
  <c r="F14" i="15" s="1"/>
  <c r="B27" i="5"/>
</calcChain>
</file>

<file path=xl/sharedStrings.xml><?xml version="1.0" encoding="utf-8"?>
<sst xmlns="http://schemas.openxmlformats.org/spreadsheetml/2006/main" count="1063" uniqueCount="540">
  <si>
    <t>CarbonKeel — calculation check</t>
  </si>
  <si>
    <t>What this is</t>
  </si>
  <si>
    <t>Every figure CarbonKeel shows, worked out again here with ordinary Excel formulas, one step per row, so you can follow the process and check the output yourself. Change any yellow input and every result updates.</t>
  </si>
  <si>
    <t>How to check</t>
  </si>
  <si>
    <t>1. Read a regulation tab top to bottom: inputs, each step, the result.
2. Open the Cross-check tab: it compares each workbook result with the figure CarbonKeel's engine produced, and shows PASS or FAIL.
3. To check another ship, copy its figures from the Verifier view on carbonkeel.com into the Ship check tab.</t>
  </si>
  <si>
    <t>Colour code</t>
  </si>
  <si>
    <t>Blue text on yellow = an input you may change.  Black = a formula.  Green = a value brought in from another tab.  Green fill = the main result of a section.</t>
  </si>
  <si>
    <t>The process</t>
  </si>
  <si>
    <t>1. Data: the ship's verified emissions from the EMSA THETIS-MRV public register (or your own fuel figures).
2. Scope: split the emissions by where they happened (between EU ports, into or out of the EU, at berth, UK domestic).
3. Rules: apply each regulation's own share, gases and factors.
4. Price: multiply by the allowance or penalty price.
5. Bill: add EU ETS, UK ETS and FuelEU; show the IMO Net-Zero Framework as a scenario.</t>
  </si>
  <si>
    <t>Tabs</t>
  </si>
  <si>
    <t>Assumptions — the prices you can change.
Rule tables — every regulatory number used, with its source.
EU ETS — the allowance bill (worked example: PETER OLDENDORFF from the register, and a simple ship).
FuelEU — fuel intensity, compliance balance, penalty and pooling cost.
CII — the A to E rating and how it tightens to 2030.
CII G5 — the corrections IMO allows (example: refrigerated containers).
EEXI — the design check.
Own data bill — your own fuel split by voyage type, with UK ETS.
Charter split — who pays what under a time charter.
What-if — how speed and biofuel change fuel use.
IMO NZF — the Net-Zero Framework scenario (not adopted).
Ship check — enter any ship's register figures.
Cross-check — workbook against engine, PASS or FAIL.</t>
  </si>
  <si>
    <t>Limits</t>
  </si>
  <si>
    <t>Public-register figures are estimates: the register publishes a fuel total but not the fuel types, so the mix is inferred from CO2 per tonne of fuel; it does not publish the deadweight. Allowance and pool prices are assumptions. Not legal or investment advice.</t>
  </si>
  <si>
    <t>Prepared</t>
  </si>
  <si>
    <t>17 October 2026, from CarbonKeel calculation engines v0.3 and the EMSA THETIS-MRV 2025 report, version 6.</t>
  </si>
  <si>
    <t>Assumptions you can change</t>
  </si>
  <si>
    <t>Market prices are inputs, not regulatory facts. CarbonKeel uses these defaults; change them here and every tab updates.</t>
  </si>
  <si>
    <t>Prices</t>
  </si>
  <si>
    <t>Step</t>
  </si>
  <si>
    <t>Value</t>
  </si>
  <si>
    <t>Unit</t>
  </si>
  <si>
    <t>How it is worked out</t>
  </si>
  <si>
    <t>Source</t>
  </si>
  <si>
    <t>EU allowance (EUA) price</t>
  </si>
  <si>
    <t>€ per tonne</t>
  </si>
  <si>
    <t>Used for every EU ETS cost.</t>
  </si>
  <si>
    <t>Assumption near the September 2026 market average (€85.6/t, Carbon Pulse via IndexBox).</t>
  </si>
  <si>
    <t>UK allowance (UKA) price</t>
  </si>
  <si>
    <t>£ per tonne</t>
  </si>
  <si>
    <t>Used for every UK ETS cost.</t>
  </si>
  <si>
    <t>Indicative; no current published level found.</t>
  </si>
  <si>
    <t>Euros per pound</t>
  </si>
  <si>
    <t>€ per £</t>
  </si>
  <si>
    <t>Converts the UK ETS cost to euros for the total.</t>
  </si>
  <si>
    <t>Assumption.</t>
  </si>
  <si>
    <t>FuelEU pool price</t>
  </si>
  <si>
    <t>€ per tCO2e</t>
  </si>
  <si>
    <t>Cost of buying a deficit from a pool instead of paying the penalty.</t>
  </si>
  <si>
    <t>Mid-2026 market: OceanScore index €118.90 (Aug 2026), BetterSea trades €106.52 (Jul 2026). Negotiated; no official price.</t>
  </si>
  <si>
    <t>Consecutive years with a FuelEU penalty, including this one</t>
  </si>
  <si>
    <t>years</t>
  </si>
  <si>
    <t>n in the Article 23(2) multiplier.</t>
  </si>
  <si>
    <t>Your own record; the public data cannot show it.</t>
  </si>
  <si>
    <t>Regulatory numbers</t>
  </si>
  <si>
    <t>Every factor the calculations use, with where it comes from. These are fixed by law; change them only if the regulation changes.</t>
  </si>
  <si>
    <t>Carbon factors (tonnes CO2 per tonne of fuel)</t>
  </si>
  <si>
    <t>Heavy fuel oil (HFO)</t>
  </si>
  <si>
    <t>t CO2 / t</t>
  </si>
  <si>
    <t>IMO 2018 DCS guidelines / MEPC.352(78) G1; Regulation (EU) 2015/757 Annex I.</t>
  </si>
  <si>
    <t>Light fuel oil (VLSFO/LFO)</t>
  </si>
  <si>
    <t>Marine gas oil (MDO/MGO)</t>
  </si>
  <si>
    <t>LNG</t>
  </si>
  <si>
    <t>Methanol</t>
  </si>
  <si>
    <t>Methane and nitrous oxide (EU and UK ETS)</t>
  </si>
  <si>
    <t>Methane emission factor, liquid fuels</t>
  </si>
  <si>
    <t>t CH4 / t fuel</t>
  </si>
  <si>
    <t>Regulation (EU) 2015/757 Annex I Part A.</t>
  </si>
  <si>
    <t>Nitrous oxide emission factor, liquid fuels</t>
  </si>
  <si>
    <t>t N2O / t fuel</t>
  </si>
  <si>
    <t>Global warming potential, methane</t>
  </si>
  <si>
    <t>Delegated Regulation (EU) 2020/1044 (IPCC AR5); UK Order Table C1.</t>
  </si>
  <si>
    <t>Global warming potential, nitrous oxide</t>
  </si>
  <si>
    <t>Same.</t>
  </si>
  <si>
    <t>First year methane and N2O count in the EU ETS</t>
  </si>
  <si>
    <t>Directive 2003/87/EC Annex I.</t>
  </si>
  <si>
    <t>EU ETS share of emissions surrendered (phase-in)</t>
  </si>
  <si>
    <t>share</t>
  </si>
  <si>
    <t>Emissions year 2023</t>
  </si>
  <si>
    <t>Directive 2003/87/EC Art. 3gb (no obligation before 2024).</t>
  </si>
  <si>
    <t>Emissions year 2024</t>
  </si>
  <si>
    <t>Emissions year 2025</t>
  </si>
  <si>
    <t>Emissions year 2026</t>
  </si>
  <si>
    <t>Emissions year 2027</t>
  </si>
  <si>
    <t>Emissions year 2028</t>
  </si>
  <si>
    <t>Emissions year 2029</t>
  </si>
  <si>
    <t>Emissions year 2030</t>
  </si>
  <si>
    <t>EU ETS scope shares</t>
  </si>
  <si>
    <t>Voyages between EU/EEA ports</t>
  </si>
  <si>
    <t>Directive 2003/87/EC Art. 3ga.</t>
  </si>
  <si>
    <t>Voyages into or out of the EU/EEA</t>
  </si>
  <si>
    <t>At berth in EU/EEA ports</t>
  </si>
  <si>
    <t>UK ETS: Great Britain to Northern Ireland</t>
  </si>
  <si>
    <t>SI 2026/392 Sch. 2A para 15.</t>
  </si>
  <si>
    <t>FuelEU Maritime</t>
  </si>
  <si>
    <t>Reference intensity (2020 baseline)</t>
  </si>
  <si>
    <t>gCO2e/MJ</t>
  </si>
  <si>
    <t>Regulation (EU) 2023/1805 Art. 4(2).</t>
  </si>
  <si>
    <t>reduction</t>
  </si>
  <si>
    <t>Reduction below the baseline for 2025 (2% for 2025-2029, 6% from 2030, 14.5% from 2035).</t>
  </si>
  <si>
    <t>Reduction below the baseline for 2026 (2% for 2025-2029, 6% from 2030, 14.5% from 2035).</t>
  </si>
  <si>
    <t>Reduction below the baseline for 2027 (2% for 2025-2029, 6% from 2030, 14.5% from 2035).</t>
  </si>
  <si>
    <t>Reduction below the baseline for 2028 (2% for 2025-2029, 6% from 2030, 14.5% from 2035).</t>
  </si>
  <si>
    <t>Reduction below the baseline for 2029 (2% for 2025-2029, 6% from 2030, 14.5% from 2035).</t>
  </si>
  <si>
    <t>Reduction below the baseline for 2030 (2% for 2025-2029, 6% from 2030, 14.5% from 2035).</t>
  </si>
  <si>
    <t>Reduction below the baseline for 2035 (2% for 2025-2029, 6% from 2030, 14.5% from 2035).</t>
  </si>
  <si>
    <t>Lower calorific value, HFO</t>
  </si>
  <si>
    <t>MJ per tonne</t>
  </si>
  <si>
    <t>Regulation (EU) 2023/1805 Annex II.</t>
  </si>
  <si>
    <t>Well-to-wake intensity, HFO</t>
  </si>
  <si>
    <t>Annex II defaults (AR4 GWPs, as FuelEU requires).</t>
  </si>
  <si>
    <t>Lower calorific value, gas oil (MDO/MGO)</t>
  </si>
  <si>
    <t>Well-to-wake intensity, gas oil</t>
  </si>
  <si>
    <t>Annex II defaults.</t>
  </si>
  <si>
    <t>Penalty rate</t>
  </si>
  <si>
    <t>€ per t VLSFO-equivalent</t>
  </si>
  <si>
    <t>Regulation (EU) 2023/1805 Annex IV Part B.</t>
  </si>
  <si>
    <t>Energy of one tonne VLSFO-equivalent</t>
  </si>
  <si>
    <t>MJ</t>
  </si>
  <si>
    <t>IMO CII (bulk carrier and container lines used in the examples)</t>
  </si>
  <si>
    <t>Reference line a, bulk carrier</t>
  </si>
  <si>
    <t>Reference = a × capacity^(−c)</t>
  </si>
  <si>
    <t>MEPC.353(78) Table 1.</t>
  </si>
  <si>
    <t>Reference line c, bulk carrier</t>
  </si>
  <si>
    <t>Reference line a, container ship</t>
  </si>
  <si>
    <t>Reference line c, container ship</t>
  </si>
  <si>
    <t>Bulk carrier boundary d1 (A/B)</t>
  </si>
  <si>
    <t>× required</t>
  </si>
  <si>
    <t>MEPC.354(78) Table 1.</t>
  </si>
  <si>
    <t>Bulk carrier boundary d2 (B/C)</t>
  </si>
  <si>
    <t>Bulk carrier boundary d3 (C/D)</t>
  </si>
  <si>
    <t>Bulk carrier boundary d4 (D/E)</t>
  </si>
  <si>
    <t>Container boundary d1</t>
  </si>
  <si>
    <t>Container boundary d2</t>
  </si>
  <si>
    <t>Container boundary d3</t>
  </si>
  <si>
    <t>Container boundary d4</t>
  </si>
  <si>
    <t>Z</t>
  </si>
  <si>
    <t>CII reduction factor Z for 2023</t>
  </si>
  <si>
    <t>MEPC.338(76) as amended by MEPC.400(83).</t>
  </si>
  <si>
    <t>CII reduction factor Z for 2024</t>
  </si>
  <si>
    <t>CII reduction factor Z for 2025</t>
  </si>
  <si>
    <t>CII reduction factor Z for 2026</t>
  </si>
  <si>
    <t>CII reduction factor Z for 2027</t>
  </si>
  <si>
    <t>CII reduction factor Z for 2028</t>
  </si>
  <si>
    <t>CII reduction factor Z for 2029</t>
  </si>
  <si>
    <t>CII reduction factor Z for 2030</t>
  </si>
  <si>
    <t>EEXI (bulk carrier)</t>
  </si>
  <si>
    <t>EEDI reference line a, bulk carrier</t>
  </si>
  <si>
    <t>Reference = a × DWT^(−c)</t>
  </si>
  <si>
    <t>MARPOL Annex VI reg. 24; MEPC.364(79).</t>
  </si>
  <si>
    <t>EEDI reference line c, bulk carrier</t>
  </si>
  <si>
    <t>EEXI reduction factor, bulk 20,000-200,000 DWT</t>
  </si>
  <si>
    <t>MARPOL Annex VI reg. 25 Table 3.</t>
  </si>
  <si>
    <t>CII G5 corrections</t>
  </si>
  <si>
    <t>Default reefer load, Cx</t>
  </si>
  <si>
    <t>kW per reefer</t>
  </si>
  <si>
    <t>MEPC.355(78) Appendix 1 Part A.1.2.</t>
  </si>
  <si>
    <t>Default SFOC, 2-stroke engines</t>
  </si>
  <si>
    <t>g/kWh</t>
  </si>
  <si>
    <t>IMO Net-Zero Framework (draft, not adopted)</t>
  </si>
  <si>
    <t>GFI reference (2008)</t>
  </si>
  <si>
    <t>Draft MARPOL Annex VI Ch. 5, MEPC 83.</t>
  </si>
  <si>
    <t>Base target reduction, 2028</t>
  </si>
  <si>
    <t>Direct target reduction, 2028</t>
  </si>
  <si>
    <t>Tier 1 remedial unit price</t>
  </si>
  <si>
    <t>$ per tCO2e</t>
  </si>
  <si>
    <t>Tier 2 remedial unit price</t>
  </si>
  <si>
    <t>EU ETS — the allowance bill</t>
  </si>
  <si>
    <t>Part A rebuilds a real ship's bill from the public register, exactly as carbonkeel.com does. Part B is a simple ship you can recompute on a calculator.</t>
  </si>
  <si>
    <t>Part A — PETER OLDENDORFF (IMO 9464663), 2025, from the EMSA register</t>
  </si>
  <si>
    <t>Emissions year</t>
  </si>
  <si>
    <t>Register reporting period.</t>
  </si>
  <si>
    <t>CO2 on voyages between EU/EEA ports</t>
  </si>
  <si>
    <t>t</t>
  </si>
  <si>
    <t>EMSA THETIS-MRV 2025 v6.</t>
  </si>
  <si>
    <t>CO2 on voyages leaving an EU/EEA port</t>
  </si>
  <si>
    <t>CO2 on voyages arriving at an EU/EEA port</t>
  </si>
  <si>
    <t>CO2 at berth in EU/EEA ports</t>
  </si>
  <si>
    <t>ETS-scope CO2 reported by the ship's verifier</t>
  </si>
  <si>
    <t>Same ('CO2 emissions to be reported under Directive 2003/87/EC').</t>
  </si>
  <si>
    <t>Counted: between EU ports × 100%</t>
  </si>
  <si>
    <t>Directive Art. 3ga: full share.</t>
  </si>
  <si>
    <t>Counted: leaving and arriving × 50%</t>
  </si>
  <si>
    <t>Half of voyages with one end in the EU.</t>
  </si>
  <si>
    <t>Counted: at berth × 100%</t>
  </si>
  <si>
    <t>Full share in port.</t>
  </si>
  <si>
    <t>Our rebuild of ETS-scope CO2</t>
  </si>
  <si>
    <t>Sum of the three counted parts.</t>
  </si>
  <si>
    <t>Calibration: verifier figure ÷ our rebuild</t>
  </si>
  <si>
    <t>1.000 means our rebuild matches the verifier exactly.</t>
  </si>
  <si>
    <t>ETS-scope CO2e the bill uses</t>
  </si>
  <si>
    <t>Always the verifier's own figure when the register has one. 2025 counts CO2 only.</t>
  </si>
  <si>
    <t>Share surrendered for this year</t>
  </si>
  <si>
    <t>Looked up in Rule tables: 70% for 2025.</t>
  </si>
  <si>
    <t>EU allowances due</t>
  </si>
  <si>
    <t>EUAs</t>
  </si>
  <si>
    <t>CO2e × share surrendered.</t>
  </si>
  <si>
    <t>EU ETS cost</t>
  </si>
  <si>
    <t>€</t>
  </si>
  <si>
    <t>Allowances × EUA price (Assumptions).</t>
  </si>
  <si>
    <t>Same emissions on the 2026 rules (100%)</t>
  </si>
  <si>
    <t>What the identical year would cost from 2026.</t>
  </si>
  <si>
    <t>Part B — simple ship: 3,000 t HFO, all between EU ports, 2026</t>
  </si>
  <si>
    <t>Example.</t>
  </si>
  <si>
    <t>HFO burned</t>
  </si>
  <si>
    <t>CO2</t>
  </si>
  <si>
    <t>Fuel × 3.114.</t>
  </si>
  <si>
    <t>Methane as CO2e</t>
  </si>
  <si>
    <t>t CO2e</t>
  </si>
  <si>
    <t>Fuel × 0.00005 × 28, from 2026.</t>
  </si>
  <si>
    <t>Nitrous oxide as CO2e</t>
  </si>
  <si>
    <t>Fuel × 0.00018 × 265, from 2026.</t>
  </si>
  <si>
    <t>CO2e in scope</t>
  </si>
  <si>
    <t>All of it is between EU ports, so 100%.</t>
  </si>
  <si>
    <t>Share surrendered</t>
  </si>
  <si>
    <t>Surrender by 30 September of the following year (Directive Art. 12(3)). Unsurrendered allowances: €100 per tCO2e penalty and the allowances are still owed (Art. 16(3)). Exceptions to 2030: ice class IA/IA Super 5% fewer allowances; island, outermost-region and public-service derogations (Art. 12(3-b) to (3-e)).</t>
  </si>
  <si>
    <t>FuelEU Maritime — intensity, balance, penalty and pooling</t>
  </si>
  <si>
    <t>FuelEU compares the well-to-wake greenhouse-gas intensity of the energy used with a falling limit. A shortfall is a penalty, or can be bought from a pool.</t>
  </si>
  <si>
    <t>Part A — simple ship: 3,000 t HFO, all between EU ports, 2026</t>
  </si>
  <si>
    <t>Year</t>
  </si>
  <si>
    <t>Total CO2 in the year</t>
  </si>
  <si>
    <t>Total fuel in the year</t>
  </si>
  <si>
    <t>CO2 per tonne of fuel</t>
  </si>
  <si>
    <t>3.114 = heavy fuel oil, 3.206 = gas oil; in between = a blend of the two.</t>
  </si>
  <si>
    <t>Gas oil share of the fuel, by mass</t>
  </si>
  <si>
    <t>(ratio − 3.114) ÷ (3.206 − 3.114). The rest is heavy fuel oil.</t>
  </si>
  <si>
    <t>CO2 counted for FuelEU</t>
  </si>
  <si>
    <t>All between EU ports, so all of it.</t>
  </si>
  <si>
    <t>Regulation (EU) 2023/1805 Art. 2: same 100% / 50% / 100% shares.</t>
  </si>
  <si>
    <t>Fuel burned in scope</t>
  </si>
  <si>
    <t>Counted CO2 ÷ the ship's own CO2 per tonne.</t>
  </si>
  <si>
    <t>of which heavy fuel oil</t>
  </si>
  <si>
    <t>of which gas oil</t>
  </si>
  <si>
    <t>Energy used in scope</t>
  </si>
  <si>
    <t>Tonnes × lower calorific value: 40,500 MJ/t HFO, 42,700 MJ/t gas oil.</t>
  </si>
  <si>
    <t>Annex II.</t>
  </si>
  <si>
    <t>Greenhouse gas, well to wake</t>
  </si>
  <si>
    <t>g CO2e</t>
  </si>
  <si>
    <t>Energy × 91.74 (HFO) or 90.77 (gas oil) gCO2e/MJ.</t>
  </si>
  <si>
    <t>GHG intensity attained</t>
  </si>
  <si>
    <t>Greenhouse gas ÷ energy.</t>
  </si>
  <si>
    <t>Reduction for the year</t>
  </si>
  <si>
    <t>Target intensity</t>
  </si>
  <si>
    <t>91.16 × (1 − 2%) = 89.3368 for 2025-2029.</t>
  </si>
  <si>
    <t>Compliance balance</t>
  </si>
  <si>
    <t>(target − attained) × energy. Negative = shortfall.</t>
  </si>
  <si>
    <t>Annex IV Part A.</t>
  </si>
  <si>
    <t>Statutory penalty per tonne of shortfall</t>
  </si>
  <si>
    <t>10^6 ÷ (intensity × 41,000) × €2,400.</t>
  </si>
  <si>
    <t>Repeat-deficit multiplier</t>
  </si>
  <si>
    <t>×</t>
  </si>
  <si>
    <t>1 + (n − 1)/10 (Assumptions: n).</t>
  </si>
  <si>
    <t>Regulation (EU) 2023/1805 Art. 23(2).</t>
  </si>
  <si>
    <t>FuelEU penalty if paid</t>
  </si>
  <si>
    <t>|balance| ÷ (intensity × 41,000) × €2,400 × multiplier.</t>
  </si>
  <si>
    <t>Annex IV Part B.</t>
  </si>
  <si>
    <t>Cost if the shortfall is bought from a pool</t>
  </si>
  <si>
    <t>Shortfall tonnes × pool price (Assumptions).</t>
  </si>
  <si>
    <t>Art. 21 (pooling).</t>
  </si>
  <si>
    <t>Saving from pooling</t>
  </si>
  <si>
    <t>Part B — PETER OLDENDORFF, 2025, from the register</t>
  </si>
  <si>
    <t>Register scope split (EU ETS tab) with the 100% / 50% / 100% shares.</t>
  </si>
  <si>
    <t>A surplus can be banked (Art. 20) or pooled for payment. A shortfall can be part-borrowed from next year with 10% added (Art. 20). Pools are recorded by 30 April; an unpaid penalty is due by 30 June. Ships whose CO2 per tonne is below 3.114 (LNG with oil) are handled the same way by CarbonKeel with LNG's factors (2.750, 49,100 MJ/t, 89.20 gCO2e/MJ for Otto medium-speed engines).</t>
  </si>
  <si>
    <t>COOL MAGNUS (IMO 9167801) — every step</t>
  </si>
  <si>
    <t>Refrigerated cargo carrier, Wallem Shipmanagement, 2025 emissions, from the EMSA register. The FuelEU shortfall, the penalty, the pooling cost and the EU ETS bill, worked out line by line.</t>
  </si>
  <si>
    <t>1. What the register publishes</t>
  </si>
  <si>
    <t>Total CO2 in 2025</t>
  </si>
  <si>
    <t>Total fuel in 2025</t>
  </si>
  <si>
    <t>ETS-scope CO2 reported by the verifier</t>
  </si>
  <si>
    <t>Distance sailed</t>
  </si>
  <si>
    <t>nm</t>
  </si>
  <si>
    <t>Total CO2 ÷ the published CO2 per nautical mile.</t>
  </si>
  <si>
    <t>2. Which fuel it burned</t>
  </si>
  <si>
    <t>742.904 ÷ 231.723 = 3.206: exactly the factor for gas oil (MDO/MGO).</t>
  </si>
  <si>
    <t>Gas oil share</t>
  </si>
  <si>
    <t>100%: the ship burned gas oil only.</t>
  </si>
  <si>
    <t>3. How much of it FuelEU and the EU ETS count</t>
  </si>
  <si>
    <t>Between EU ports × 100%</t>
  </si>
  <si>
    <t>t CO2</t>
  </si>
  <si>
    <t>Directive Art. 3ga; FuelEU Art. 2.</t>
  </si>
  <si>
    <t>Leaving and arriving × 50%</t>
  </si>
  <si>
    <t>38.472 + 697.481 = 735.953 t, half of it counts.</t>
  </si>
  <si>
    <t>At berth × 100%</t>
  </si>
  <si>
    <t>CO2 in scope</t>
  </si>
  <si>
    <t>Matches the verifier's 374.93 t.</t>
  </si>
  <si>
    <t>4. FuelEU: energy and intensity</t>
  </si>
  <si>
    <t>Gas oil burned in scope</t>
  </si>
  <si>
    <t>CO2 in scope ÷ 3.206.</t>
  </si>
  <si>
    <t>Energy in scope</t>
  </si>
  <si>
    <t>× 42,700 MJ per tonne.</t>
  </si>
  <si>
    <t>Gas oil's well-to-wake default: 90.77.</t>
  </si>
  <si>
    <t>FuelEU limit for 2025</t>
  </si>
  <si>
    <t>91.16 × 0.98 = 89.3368.</t>
  </si>
  <si>
    <t>Art. 4(2).</t>
  </si>
  <si>
    <t>Above the limit by</t>
  </si>
  <si>
    <t>5. FuelEU: shortfall, penalty and pooling</t>
  </si>
  <si>
    <t>Compliance balance (shortfall)</t>
  </si>
  <si>
    <t>− gap × energy ÷ 10^6.</t>
  </si>
  <si>
    <t>Penalty per tonne of shortfall</t>
  </si>
  <si>
    <t>If bought from a pool instead</t>
  </si>
  <si>
    <t>Pool price on Assumptions.</t>
  </si>
  <si>
    <t>6. EU ETS</t>
  </si>
  <si>
    <t>Verifier ÷ our rebuild</t>
  </si>
  <si>
    <t>1.000: an exact match.</t>
  </si>
  <si>
    <t>EU allowances (70% of 2025)</t>
  </si>
  <si>
    <t>Directive Art. 3gb.</t>
  </si>
  <si>
    <t>Carbon bill, FuelEU at the penalty</t>
  </si>
  <si>
    <t>Earlier versions assumed heavy fuel oil for every ship, which showed a 11.7 t shortfall for this ship. The register's own fuel total shows gas oil, whose intensity (90.77) is closer to the limit, so the shortfall is 7.2 t. The EU ETS bill does not change: it uses the verifier's CO2. CII needs the ship's deadweight, which the register does not publish.</t>
  </si>
  <si>
    <t>IMO CII — the A to E rating</t>
  </si>
  <si>
    <t>Attained CII = CO2 ÷ (capacity × distance). It is compared with a required value that tightens every year to 2030.</t>
  </si>
  <si>
    <t>Part A — simple ship: bulk carrier, 50,000 DWT, 3,000 t HFO, 50,000 nm, 2026</t>
  </si>
  <si>
    <t>CO2 emitted in the year</t>
  </si>
  <si>
    <t>Fuel × carbon factor (Part B: the register's total CO2).</t>
  </si>
  <si>
    <t>Capacity (deadweight)</t>
  </si>
  <si>
    <t>DWT</t>
  </si>
  <si>
    <t>Bulk carriers use DWT, capped at 279,000.</t>
  </si>
  <si>
    <t>MEPC.352(78).</t>
  </si>
  <si>
    <t>Part B: the register's CO2 ÷ its CO2 per nautical mile.</t>
  </si>
  <si>
    <t>Attained CII</t>
  </si>
  <si>
    <t>gCO2 / DWT·nm</t>
  </si>
  <si>
    <t>CO2 in grams ÷ (capacity × distance).</t>
  </si>
  <si>
    <t>G1, MEPC.352(78).</t>
  </si>
  <si>
    <t>Reference line</t>
  </si>
  <si>
    <t>a × capacity^(−c).</t>
  </si>
  <si>
    <t>G2, MEPC.353(78).</t>
  </si>
  <si>
    <t>Reduction factor Z</t>
  </si>
  <si>
    <t>G3.</t>
  </si>
  <si>
    <t>Required CII</t>
  </si>
  <si>
    <t>Reference × (1 − Z).</t>
  </si>
  <si>
    <t>Attained ÷ required</t>
  </si>
  <si>
    <t>Boundary A/B</t>
  </si>
  <si>
    <t>d1 × required.</t>
  </si>
  <si>
    <t>G4, MEPC.354(78).</t>
  </si>
  <si>
    <t>Boundary B/C</t>
  </si>
  <si>
    <t>d2 × required.</t>
  </si>
  <si>
    <t>Boundary C/D</t>
  </si>
  <si>
    <t>d3 × required.</t>
  </si>
  <si>
    <t>Boundary D/E</t>
  </si>
  <si>
    <t>d4 × required.</t>
  </si>
  <si>
    <t>Rating</t>
  </si>
  <si>
    <t>Compare the ratio with d1 to d4.</t>
  </si>
  <si>
    <t>Part B — PETER OLDENDORFF, 2025, with 93,000 DWT entered</t>
  </si>
  <si>
    <t>Part C — the simple ship's rating, 2023 to 2030, at the same performance</t>
  </si>
  <si>
    <t>2023: rating</t>
  </si>
  <si>
    <t>Required tightens with Z for 2023.</t>
  </si>
  <si>
    <t>2024: rating</t>
  </si>
  <si>
    <t>Required tightens with Z for 2024.</t>
  </si>
  <si>
    <t>2025: rating</t>
  </si>
  <si>
    <t>Required tightens with Z for 2025.</t>
  </si>
  <si>
    <t>2026: rating</t>
  </si>
  <si>
    <t>Required tightens with Z for 2026.</t>
  </si>
  <si>
    <t>2027: rating</t>
  </si>
  <si>
    <t>Required tightens with Z for 2027.</t>
  </si>
  <si>
    <t>2028: rating</t>
  </si>
  <si>
    <t>Required tightens with Z for 2028.</t>
  </si>
  <si>
    <t>2029: rating</t>
  </si>
  <si>
    <t>Required tightens with Z for 2029.</t>
  </si>
  <si>
    <t>2030: rating</t>
  </si>
  <si>
    <t>Required tightens with Z for 2030.</t>
  </si>
  <si>
    <t>A rating of D for three years in a row, or E in any year, requires a corrective action plan in SEEMP Part III (MARPOL Annex VI reg. 28).</t>
  </si>
  <si>
    <t>CII corrections — MEPC.355(78) (G5)</t>
  </si>
  <si>
    <t>IMO lets some fuel come out of the CII: voyage adjustments (safety, ice), and part of the fuel for reefers, cargo cooling, cargo heating and discharge pumps.</t>
  </si>
  <si>
    <t>Container ship, 50,000 DWT, 10,000 t HFO, 100,000 nm, 2026, reefers without kWh meters</t>
  </si>
  <si>
    <t>Capacity</t>
  </si>
  <si>
    <t>Distance</t>
  </si>
  <si>
    <t>In-use reefer-days (from BAPLIE files)</t>
  </si>
  <si>
    <t>reefer-days</t>
  </si>
  <si>
    <t>Fuel for reefers</t>
  </si>
  <si>
    <t>2.75 kW × 24 h × 175 g/kWh × reefer-days.</t>
  </si>
  <si>
    <t>G5 Appendix 1 Part A.1.2.</t>
  </si>
  <si>
    <t>Share of that fuel that may come out</t>
  </si>
  <si>
    <t>0.75 − 0.03 × years since 2023: 0.66 in 2026.</t>
  </si>
  <si>
    <t>G5 section 4.</t>
  </si>
  <si>
    <t>CO2 counted in the CII</t>
  </si>
  <si>
    <t>3.114 × (fuel − share × reefer fuel).</t>
  </si>
  <si>
    <t>Attained CII with the correction</t>
  </si>
  <si>
    <t>Attained CII without it</t>
  </si>
  <si>
    <t>Required CII (container)</t>
  </si>
  <si>
    <t>Other G5 items: voyage adjustments remove both fuel and distance (MARPOL Annex VI reg. 3.1 safety situations; ice-classed ships within the ice edge). STS voyages on tankers: fuel × (1 − 6.1742 × DWT^−0.246). Shuttle tankers with DP: all fuel × (1 − 5.6805 × DWT^−0.208). Cargo cooling (gas and LNG carriers), electric discharge pumps, cargo-heating boilers and engine-driven pumps (tankers) use the same 0.75 − 0.03y share. Only figures your Administration accepts may be used.</t>
  </si>
  <si>
    <t>EEXI — the design check</t>
  </si>
  <si>
    <t>The required EEXI is the EEDI reference line for the ship type and size, cut by a reduction factor. The attained value is what the ship filed.</t>
  </si>
  <si>
    <t>PETER OLDENDORFF: bulk carrier, 93,000 DWT</t>
  </si>
  <si>
    <t>Deadweight</t>
  </si>
  <si>
    <t>Entered by the user.</t>
  </si>
  <si>
    <t>EEDI reference line</t>
  </si>
  <si>
    <t>gCO2/t·nm</t>
  </si>
  <si>
    <t>961.79 × DWT^(−0.477).</t>
  </si>
  <si>
    <t>Required EEXI</t>
  </si>
  <si>
    <t>Reference × (1 − 20%).</t>
  </si>
  <si>
    <t>Attained EEXI, as filed</t>
  </si>
  <si>
    <t>EMSA register, 'Technical efficiency': EEXI (2.97).</t>
  </si>
  <si>
    <t>Margin</t>
  </si>
  <si>
    <t>Positive = below the required value.</t>
  </si>
  <si>
    <t>Verdict</t>
  </si>
  <si>
    <t>Your own fuel, split by voyage type</t>
  </si>
  <si>
    <t>When you enter your own fuel, you say where it was burned. Each share is charged by its own rule; the rest is out of scope.</t>
  </si>
  <si>
    <t>Bulk carrier, 4,300 t HFO, 2026</t>
  </si>
  <si>
    <t>HFO burned in the year</t>
  </si>
  <si>
    <t>Share between EU/EEA ports</t>
  </si>
  <si>
    <t>Your voyage data.</t>
  </si>
  <si>
    <t>Share into or out of the EU/EEA</t>
  </si>
  <si>
    <t>Share at berth in EU/EEA ports</t>
  </si>
  <si>
    <t>Share on UK domestic voyages and UK berths</t>
  </si>
  <si>
    <t>Share Great Britain to Northern Ireland</t>
  </si>
  <si>
    <t>Outside EU and UK scope</t>
  </si>
  <si>
    <t>Must not be negative.</t>
  </si>
  <si>
    <t>CO2e per tonne of HFO (with methane and N2O)</t>
  </si>
  <si>
    <t>t CO2e / t</t>
  </si>
  <si>
    <t>3.114 + 0.00005 × 28 + 0.00018 × 265 = 3.1631.</t>
  </si>
  <si>
    <t>EU-scope fuel</t>
  </si>
  <si>
    <t>100% / 50% / 100%.</t>
  </si>
  <si>
    <t>EU ETS CO2e</t>
  </si>
  <si>
    <t>UK-scope fuel</t>
  </si>
  <si>
    <t>100% domestic, 50% GB to NI.</t>
  </si>
  <si>
    <t>SI 2026/392 Sch. 2A.</t>
  </si>
  <si>
    <t>UK ETS CO2e</t>
  </si>
  <si>
    <t>Methane and N2O count from the start.</t>
  </si>
  <si>
    <t>UK ETS cost</t>
  </si>
  <si>
    <t>£</t>
  </si>
  <si>
    <t>UK ETS cost in euros</t>
  </si>
  <si>
    <t>FuelEU energy in scope</t>
  </si>
  <si>
    <t>Same shares as the ETS.</t>
  </si>
  <si>
    <t>FuelEU compliance balance</t>
  </si>
  <si>
    <t>FuelEU if pooled</t>
  </si>
  <si>
    <t>Total bill, FuelEU at the penalty</t>
  </si>
  <si>
    <t>Total bill, FuelEU pooled</t>
  </si>
  <si>
    <t>Owner and time-charterer split</t>
  </si>
  <si>
    <t>BIMCO's ETS (2022) and FuelEU (2024) time-charter clauses put the cost of emissions during the charter on the charterer. Without voyage data, split by days.</t>
  </si>
  <si>
    <t>Charter 1 March to 31 August 2025, EU ETS cost €100,000</t>
  </si>
  <si>
    <t>Charter from</t>
  </si>
  <si>
    <t>Charter party.</t>
  </si>
  <si>
    <t>Charter to</t>
  </si>
  <si>
    <t>Cost to split</t>
  </si>
  <si>
    <t>Days on charter in the year</t>
  </si>
  <si>
    <t>days</t>
  </si>
  <si>
    <t>Both dates count.</t>
  </si>
  <si>
    <t>Days in the year</t>
  </si>
  <si>
    <t>Charterer share</t>
  </si>
  <si>
    <t>Charterer pays</t>
  </si>
  <si>
    <t>Owner pays</t>
  </si>
  <si>
    <t>The clauses allocate the emissions actually reported for the charter period. Use those figures for the contractual statement when you have them.</t>
  </si>
  <si>
    <t>What-if — speed and biofuel</t>
  </si>
  <si>
    <t>A scenario, not a measurement. Distance stays the same; berth fuel does not change with sea speed.</t>
  </si>
  <si>
    <t>Slowing down</t>
  </si>
  <si>
    <t>Speed change</t>
  </si>
  <si>
    <t>Your scenario.</t>
  </si>
  <si>
    <t>Speed exponent n</t>
  </si>
  <si>
    <t>Main-engine power ∝ speed^n; 3 is the cube law.</t>
  </si>
  <si>
    <t>Ship's speed-power curve.</t>
  </si>
  <si>
    <t>Auxiliaries and boilers, share of sea fuel</t>
  </si>
  <si>
    <t>Your noon reports.</t>
  </si>
  <si>
    <t>Main-engine fuel per mile, ratio</t>
  </si>
  <si>
    <t>speed^(n−1) on the same distance.</t>
  </si>
  <si>
    <t>Auxiliary fuel, ratio</t>
  </si>
  <si>
    <t>Burns per day; the voyage takes longer.</t>
  </si>
  <si>
    <t>Sea fuel, ratio</t>
  </si>
  <si>
    <t>Biofuel</t>
  </si>
  <si>
    <t>Share of fossil energy replaced by B100</t>
  </si>
  <si>
    <t>HFO before</t>
  </si>
  <si>
    <t>Lower calorific value, B100</t>
  </si>
  <si>
    <t>Annex II (UCOME default).</t>
  </si>
  <si>
    <t>HFO after</t>
  </si>
  <si>
    <t>B100 needed for the same energy</t>
  </si>
  <si>
    <t>More tonnes, because B100 carries less energy per tonne.</t>
  </si>
  <si>
    <t>IMO Net-Zero Framework — scenario only</t>
  </si>
  <si>
    <t>Not adopted. The IMO postponed the decision in October 2025. Shown to size the risk from 2028.</t>
  </si>
  <si>
    <t>Simple ship: 3,000 t HFO, scenario year 2028</t>
  </si>
  <si>
    <t>HFO burned (all voyages count)</t>
  </si>
  <si>
    <t>Energy</t>
  </si>
  <si>
    <t>GHG fuel intensity</t>
  </si>
  <si>
    <t>Base target</t>
  </si>
  <si>
    <t>Direct compliance target</t>
  </si>
  <si>
    <t>Tier 2 deficit (above the base target)</t>
  </si>
  <si>
    <t>Tier 1 deficit (between the targets)</t>
  </si>
  <si>
    <t>Remedial units</t>
  </si>
  <si>
    <t>$</t>
  </si>
  <si>
    <t>Check any ship</t>
  </si>
  <si>
    <t>Copy a ship's register figures from the Verifier view on carbonkeel.com into the yellow cells. The bill is worked out with the same rules; the fuel mix comes from the register's CO2 ÷ fuel.</t>
  </si>
  <si>
    <t>Your ship (example: PETER OLDENDORFF)</t>
  </si>
  <si>
    <t>CO2 between EU/EEA ports</t>
  </si>
  <si>
    <t>Register.</t>
  </si>
  <si>
    <t>CO2 leaving an EU/EEA port</t>
  </si>
  <si>
    <t>CO2 arriving at an EU/EEA port</t>
  </si>
  <si>
    <t>Verifier-reported ETS-scope CO2 (blank if none)</t>
  </si>
  <si>
    <t>Our rebuild</t>
  </si>
  <si>
    <t>CO2 the bill uses</t>
  </si>
  <si>
    <t>The verifier's figure when there is one.</t>
  </si>
  <si>
    <t>Gas oil share of the fuel</t>
  </si>
  <si>
    <t>From CO2 ÷ fuel, as on the FuelEU tab.</t>
  </si>
  <si>
    <t>Fuel in scope</t>
  </si>
  <si>
    <t>GHG intensity</t>
  </si>
  <si>
    <t>FuelEU balance</t>
  </si>
  <si>
    <t>No FuelEU before 2025, or when the verifier reported no ETS-scope CO2.</t>
  </si>
  <si>
    <t>Total, FuelEU at the penalty</t>
  </si>
  <si>
    <t>Cross-check — workbook against the CarbonKeel engine</t>
  </si>
  <si>
    <t>Each row compares a result worked out in this workbook with the figure CarbonKeel's engine produced on 17 October 2026 with the default assumptions. If you change an assumption, the engine column no longer applies and a FAIL is expected. The engine rounds its outputs, hence the allowed difference.</t>
  </si>
  <si>
    <t>Numbers</t>
  </si>
  <si>
    <t>Check</t>
  </si>
  <si>
    <t>This workbook</t>
  </si>
  <si>
    <t>CarbonKeel engine</t>
  </si>
  <si>
    <t>Difference</t>
  </si>
  <si>
    <t>Allowed</t>
  </si>
  <si>
    <t>Result</t>
  </si>
  <si>
    <t>EU ETS: PETER OLDENDORFF rebuild</t>
  </si>
  <si>
    <t>EU ETS: PETER OLDENDORFF allowances</t>
  </si>
  <si>
    <t>EU ETS: PETER OLDENDORFF cost (€)</t>
  </si>
  <si>
    <t>EU ETS: simple ship CO2e (t)</t>
  </si>
  <si>
    <t>EU ETS: simple ship cost (€)</t>
  </si>
  <si>
    <t>FuelEU: simple ship energy (MJ)</t>
  </si>
  <si>
    <t>FuelEU: simple ship balance (t)</t>
  </si>
  <si>
    <t>FuelEU: simple ship penalty (€)</t>
  </si>
  <si>
    <t>FuelEU: simple ship pooled (€)</t>
  </si>
  <si>
    <t>FuelEU: statutory € per tCO2e</t>
  </si>
  <si>
    <t>FuelEU: PETER OLDENDORFF energy (MJ)</t>
  </si>
  <si>
    <t>FuelEU: PETER OLDENDORFF balance (t)</t>
  </si>
  <si>
    <t>FuelEU: PETER OLDENDORFF penalty (€)</t>
  </si>
  <si>
    <t>FuelEU: PETER OLDENDORFF pooled (€)</t>
  </si>
  <si>
    <t>CII: simple ship attained</t>
  </si>
  <si>
    <t>CII: simple ship required</t>
  </si>
  <si>
    <t>CII: PETER OLDENDORFF attained</t>
  </si>
  <si>
    <t>CII: PETER OLDENDORFF required</t>
  </si>
  <si>
    <t>CII G5: reefer-corrected attained</t>
  </si>
  <si>
    <t>CII G5: container required</t>
  </si>
  <si>
    <t>EEXI: required</t>
  </si>
  <si>
    <t>Own data: EU ETS CO2e (t)</t>
  </si>
  <si>
    <t>Own data: EU ETS cost (€)</t>
  </si>
  <si>
    <t>Own data: UK ETS cost (£)</t>
  </si>
  <si>
    <t>Own data: FuelEU balance (t)</t>
  </si>
  <si>
    <t>Own data: FuelEU penalty (€)</t>
  </si>
  <si>
    <t>Own data: FuelEU pooled (€)</t>
  </si>
  <si>
    <t>Charter: days on charter</t>
  </si>
  <si>
    <t>Charter: charterer pays (€)</t>
  </si>
  <si>
    <t>What-if: sea fuel ratio, −10%, cube law</t>
  </si>
  <si>
    <t>IMO NZF: remedial units ($)</t>
  </si>
  <si>
    <t>Ship check: EU ETS cost (€)</t>
  </si>
  <si>
    <t>Ship check: FuelEU penalty (€)</t>
  </si>
  <si>
    <t>FuelEU: PETER OLDENDORFF intensity</t>
  </si>
  <si>
    <t>COOL MAGNUS: CO2 in scope (t)</t>
  </si>
  <si>
    <t>COOL MAGNUS: FuelEU energy (MJ)</t>
  </si>
  <si>
    <t>COOL MAGNUS: FuelEU intensity</t>
  </si>
  <si>
    <t>COOL MAGNUS: FuelEU balance (t)</t>
  </si>
  <si>
    <t>COOL MAGNUS: FuelEU penalty (€)</t>
  </si>
  <si>
    <t>COOL MAGNUS: pooled (€)</t>
  </si>
  <si>
    <t>COOL MAGNUS: EU ETS cost (€)</t>
  </si>
  <si>
    <t>CII: simple ship rating</t>
  </si>
  <si>
    <t>A</t>
  </si>
  <si>
    <t>CII: PETER OLDENDORFF rating</t>
  </si>
  <si>
    <t>E</t>
  </si>
  <si>
    <t>EEXI: verdict</t>
  </si>
  <si>
    <t>COMPLIANT</t>
  </si>
  <si>
    <t>Checks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</si>
</sst>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quot;€&quot;#,##0.00"/>
    <numFmt numFmtId="165" formatCode="0.000"/>
    <numFmt numFmtId="166" formatCode="#,##0;\-#,##0;&quot;-&quot;"/>
    <numFmt numFmtId="167" formatCode="0.000000"/>
    <numFmt numFmtId="168" formatCode="0.0%;\-0.0%;&quot;-&quot;"/>
    <numFmt numFmtId="169" formatCode="#,##0.0;\-#,##0.0;&quot;-&quot;"/>
    <numFmt numFmtId="170" formatCode="0.0000"/>
    <numFmt numFmtId="171" formatCode="&quot;€&quot;#,##0;\-&quot;€&quot;#,##0;&quot;-&quot;"/>
    <numFmt numFmtId="172" formatCode="#,##0.000;\-#,##0.000;&quot;-&quot;"/>
    <numFmt numFmtId="173" formatCode="&quot;£&quot;#,##0;\-&quot;£&quot;#,##0;&quot;-&quot;"/>
    <numFmt numFmtId="174" formatCode="dd\ mmm\ yyyy"/>
    <numFmt numFmtId="175" formatCode="&quot;$&quot;#,##0;\-&quot;$&quot;#,##0;&quot;-&quot;"/>
    <numFmt numFmtId="176" formatCode="#,##0.0000"/>
  </numFmts>
  <fonts count="18" x14ac:knownFonts="1">
    <font>
      <sz val="11"/>
      <color theme="1"/>
      <name val="Calibri"/>
      <family val="2"/>
      <scheme val="minor"/>
    </font>
    <font>
      <b/>
      <sz val="16"/>
      <color rgb="FF0B2545"/>
      <name val="Arial"/>
    </font>
    <font>
      <b/>
      <sz val="10"/>
      <color rgb="FF0B2545"/>
      <name val="Arial"/>
    </font>
    <font>
      <sz val="10"/>
      <name val="Arial"/>
    </font>
    <font>
      <b/>
      <sz val="15"/>
      <color rgb="FF0B2545"/>
      <name val="Arial"/>
    </font>
    <font>
      <sz val="10"/>
      <color rgb="FF666666"/>
      <name val="Arial"/>
    </font>
    <font>
      <b/>
      <sz val="11"/>
      <color rgb="FF0B2545"/>
      <name val="Arial"/>
    </font>
    <font>
      <b/>
      <sz val="9"/>
      <color rgb="FFFFFFFF"/>
      <name val="Arial"/>
    </font>
    <font>
      <sz val="10"/>
      <color rgb="FF0000FF"/>
      <name val="Arial"/>
    </font>
    <font>
      <sz val="9"/>
      <color rgb="FF000000"/>
      <name val="Arial"/>
    </font>
    <font>
      <sz val="9"/>
      <color rgb="FF666666"/>
      <name val="Arial"/>
    </font>
    <font>
      <sz val="10"/>
      <color rgb="FF008000"/>
      <name val="Arial"/>
    </font>
    <font>
      <sz val="10"/>
      <color rgb="FF000000"/>
      <name val="Arial"/>
    </font>
    <font>
      <b/>
      <sz val="10"/>
      <name val="Arial"/>
    </font>
    <font>
      <b/>
      <sz val="10"/>
      <color rgb="FF008000"/>
      <name val="Arial"/>
    </font>
    <font>
      <i/>
      <sz val="9"/>
      <color rgb="FF666666"/>
      <name val="Arial"/>
    </font>
    <font>
      <b/>
      <sz val="10"/>
      <color rgb="FF000000"/>
      <name val="Arial"/>
    </font>
    <font>
      <b/>
      <sz val="11"/>
      <name val="Arial"/>
    </font>
  </fonts>
  <fills count="6">
    <fill>
      <patternFill patternType="none"/>
    </fill>
    <fill>
      <patternFill patternType="gray125"/>
    </fill>
    <fill>
      <patternFill patternType="solid">
        <fgColor rgb="FFDCE9F5"/>
      </patternFill>
    </fill>
    <fill>
      <patternFill patternType="solid">
        <fgColor rgb="FF0B2545"/>
      </patternFill>
    </fill>
    <fill>
      <patternFill patternType="solid">
        <fgColor rgb="FFFFF2CC"/>
      </patternFill>
    </fill>
    <fill>
      <patternFill patternType="solid">
        <fgColor rgb="FFE2F0D9"/>
      </patternFill>
    </fill>
  </fills>
  <borders count="2">
    <border>
      <left/>
      <right/>
      <top/>
      <bottom/>
      <diagonal/>
    </border>
    <border>
      <left/>
      <right/>
      <top/>
      <bottom style="thin">
        <color rgb="FFC9D3DD"/>
      </bottom>
      <diagonal/>
    </border>
  </borders>
  <cellStyleXfs count="1">
    <xf numFmtId="0" fontId="0" fillId="0" borderId="0"/>
  </cellStyleXfs>
  <cellXfs count="58">
    <xf numFmtId="0" fontId="0" fillId="0" borderId="0" xfId="0"/>
    <xf numFmtId="0" fontId="1" fillId="0" borderId="0" xfId="0" applyFont="1"/>
    <xf numFmtId="0" fontId="2" fillId="0" borderId="0" xfId="0" applyFont="1" applyAlignment="1">
      <alignment vertical="top"/>
    </xf>
    <xf numFmtId="0" fontId="3" fillId="0" borderId="0" xfId="0" applyFont="1" applyAlignment="1">
      <alignment vertical="top" wrapText="1"/>
    </xf>
    <xf numFmtId="0" fontId="4" fillId="0" borderId="0" xfId="0" applyFont="1"/>
    <xf numFmtId="0" fontId="6" fillId="2" borderId="0" xfId="0" applyFont="1" applyFill="1"/>
    <xf numFmtId="0" fontId="0" fillId="2" borderId="0" xfId="0" applyFill="1"/>
    <xf numFmtId="0" fontId="7" fillId="3" borderId="0" xfId="0" applyFont="1" applyFill="1"/>
    <xf numFmtId="0" fontId="3" fillId="0" borderId="1" xfId="0" applyFont="1" applyBorder="1" applyAlignment="1">
      <alignment vertical="top" wrapText="1"/>
    </xf>
    <xf numFmtId="164" fontId="8" fillId="4" borderId="1" xfId="0" applyNumberFormat="1" applyFont="1" applyFill="1" applyBorder="1" applyAlignment="1">
      <alignment horizontal="right"/>
    </xf>
    <xf numFmtId="0" fontId="5"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165" fontId="8" fillId="4" borderId="1" xfId="0" applyNumberFormat="1" applyFont="1" applyFill="1" applyBorder="1" applyAlignment="1">
      <alignment horizontal="right"/>
    </xf>
    <xf numFmtId="166" fontId="8" fillId="4" borderId="1" xfId="0" applyNumberFormat="1" applyFont="1" applyFill="1" applyBorder="1" applyAlignment="1">
      <alignment horizontal="right"/>
    </xf>
    <xf numFmtId="167" fontId="8" fillId="4" borderId="1" xfId="0" applyNumberFormat="1" applyFont="1" applyFill="1" applyBorder="1" applyAlignment="1">
      <alignment horizontal="right"/>
    </xf>
    <xf numFmtId="1" fontId="8" fillId="4" borderId="1" xfId="0" applyNumberFormat="1" applyFont="1" applyFill="1" applyBorder="1" applyAlignment="1">
      <alignment horizontal="right"/>
    </xf>
    <xf numFmtId="168" fontId="8" fillId="4" borderId="1" xfId="0" applyNumberFormat="1" applyFont="1" applyFill="1" applyBorder="1" applyAlignment="1">
      <alignment horizontal="right"/>
    </xf>
    <xf numFmtId="169" fontId="8" fillId="4" borderId="1" xfId="0" applyNumberFormat="1" applyFont="1" applyFill="1" applyBorder="1" applyAlignment="1">
      <alignment horizontal="right"/>
    </xf>
    <xf numFmtId="0" fontId="11" fillId="0" borderId="1" xfId="0" applyFont="1" applyBorder="1" applyAlignment="1">
      <alignment horizontal="right"/>
    </xf>
    <xf numFmtId="0" fontId="12" fillId="0" borderId="1" xfId="0" applyFont="1" applyBorder="1" applyAlignment="1">
      <alignment horizontal="right"/>
    </xf>
    <xf numFmtId="170" fontId="12" fillId="0" borderId="1" xfId="0" applyNumberFormat="1" applyFont="1" applyBorder="1" applyAlignment="1">
      <alignment horizontal="right"/>
    </xf>
    <xf numFmtId="168" fontId="12" fillId="0" borderId="1" xfId="0" applyNumberFormat="1" applyFont="1" applyBorder="1" applyAlignment="1">
      <alignment horizontal="right"/>
    </xf>
    <xf numFmtId="169" fontId="12" fillId="0" borderId="1" xfId="0" applyNumberFormat="1" applyFont="1" applyBorder="1" applyAlignment="1">
      <alignment horizontal="right"/>
    </xf>
    <xf numFmtId="0" fontId="13" fillId="0" borderId="1" xfId="0" applyFont="1" applyBorder="1" applyAlignment="1">
      <alignment vertical="top" wrapText="1"/>
    </xf>
    <xf numFmtId="171" fontId="14" fillId="5" borderId="1" xfId="0" applyNumberFormat="1" applyFont="1" applyFill="1" applyBorder="1" applyAlignment="1">
      <alignment horizontal="right"/>
    </xf>
    <xf numFmtId="171" fontId="11" fillId="0" borderId="1" xfId="0" applyNumberFormat="1" applyFont="1" applyBorder="1" applyAlignment="1">
      <alignment horizontal="right"/>
    </xf>
    <xf numFmtId="169" fontId="11" fillId="0" borderId="1" xfId="0" applyNumberFormat="1" applyFont="1" applyBorder="1" applyAlignment="1">
      <alignment horizontal="right"/>
    </xf>
    <xf numFmtId="166" fontId="11" fillId="0" borderId="1" xfId="0" applyNumberFormat="1" applyFont="1" applyBorder="1" applyAlignment="1">
      <alignment horizontal="right"/>
    </xf>
    <xf numFmtId="165" fontId="16" fillId="5" borderId="1" xfId="0" applyNumberFormat="1" applyFont="1" applyFill="1" applyBorder="1" applyAlignment="1">
      <alignment horizontal="right"/>
    </xf>
    <xf numFmtId="166" fontId="12" fillId="0" borderId="1" xfId="0" applyNumberFormat="1" applyFont="1" applyBorder="1" applyAlignment="1">
      <alignment horizontal="right"/>
    </xf>
    <xf numFmtId="169" fontId="16" fillId="5" borderId="1" xfId="0" applyNumberFormat="1" applyFont="1" applyFill="1" applyBorder="1" applyAlignment="1">
      <alignment horizontal="right"/>
    </xf>
    <xf numFmtId="164" fontId="11" fillId="0" borderId="1" xfId="0" applyNumberFormat="1" applyFont="1" applyBorder="1" applyAlignment="1">
      <alignment horizontal="right"/>
    </xf>
    <xf numFmtId="165" fontId="12" fillId="0" borderId="1" xfId="0" applyNumberFormat="1" applyFont="1" applyBorder="1" applyAlignment="1">
      <alignment horizontal="right"/>
    </xf>
    <xf numFmtId="171" fontId="16" fillId="5" borderId="1" xfId="0" applyNumberFormat="1" applyFont="1" applyFill="1" applyBorder="1" applyAlignment="1">
      <alignment horizontal="right"/>
    </xf>
    <xf numFmtId="171" fontId="12" fillId="0" borderId="1" xfId="0" applyNumberFormat="1" applyFont="1" applyBorder="1" applyAlignment="1">
      <alignment horizontal="right"/>
    </xf>
    <xf numFmtId="168" fontId="16" fillId="5" borderId="1" xfId="0" applyNumberFormat="1" applyFont="1" applyFill="1" applyBorder="1" applyAlignment="1">
      <alignment horizontal="right"/>
    </xf>
    <xf numFmtId="172" fontId="12" fillId="0" borderId="1" xfId="0" applyNumberFormat="1" applyFont="1" applyBorder="1" applyAlignment="1">
      <alignment horizontal="right"/>
    </xf>
    <xf numFmtId="165" fontId="14" fillId="5" borderId="1" xfId="0" applyNumberFormat="1" applyFont="1" applyFill="1" applyBorder="1" applyAlignment="1">
      <alignment horizontal="right"/>
    </xf>
    <xf numFmtId="0" fontId="16" fillId="5" borderId="1" xfId="0" applyFont="1" applyFill="1" applyBorder="1" applyAlignment="1">
      <alignment horizontal="right"/>
    </xf>
    <xf numFmtId="173" fontId="14" fillId="5" borderId="1" xfId="0" applyNumberFormat="1" applyFont="1" applyFill="1" applyBorder="1" applyAlignment="1">
      <alignment horizontal="right"/>
    </xf>
    <xf numFmtId="174" fontId="8" fillId="4" borderId="1" xfId="0" applyNumberFormat="1" applyFont="1" applyFill="1" applyBorder="1" applyAlignment="1">
      <alignment horizontal="right"/>
    </xf>
    <xf numFmtId="171" fontId="8" fillId="4" borderId="1" xfId="0" applyNumberFormat="1" applyFont="1" applyFill="1" applyBorder="1" applyAlignment="1">
      <alignment horizontal="right"/>
    </xf>
    <xf numFmtId="170" fontId="16" fillId="5" borderId="1" xfId="0" applyNumberFormat="1" applyFont="1" applyFill="1" applyBorder="1" applyAlignment="1">
      <alignment horizontal="right"/>
    </xf>
    <xf numFmtId="165" fontId="11" fillId="0" borderId="1" xfId="0" applyNumberFormat="1" applyFont="1" applyBorder="1" applyAlignment="1">
      <alignment horizontal="right"/>
    </xf>
    <xf numFmtId="175" fontId="14" fillId="5" borderId="1" xfId="0" applyNumberFormat="1" applyFont="1" applyFill="1" applyBorder="1" applyAlignment="1">
      <alignment horizontal="right"/>
    </xf>
    <xf numFmtId="0" fontId="3" fillId="0" borderId="1" xfId="0" applyFont="1" applyBorder="1"/>
    <xf numFmtId="176" fontId="11" fillId="0" borderId="1" xfId="0" applyNumberFormat="1" applyFont="1" applyBorder="1"/>
    <xf numFmtId="176" fontId="8" fillId="0" borderId="1" xfId="0" applyNumberFormat="1" applyFont="1" applyBorder="1"/>
    <xf numFmtId="176" fontId="3" fillId="0" borderId="1" xfId="0" applyNumberFormat="1" applyFont="1" applyBorder="1"/>
    <xf numFmtId="0" fontId="13" fillId="0" borderId="1" xfId="0" applyFont="1" applyBorder="1"/>
    <xf numFmtId="0" fontId="8" fillId="0" borderId="1" xfId="0" applyFont="1" applyBorder="1" applyAlignment="1">
      <alignment horizontal="right"/>
    </xf>
    <xf numFmtId="0" fontId="0" fillId="0" borderId="1" xfId="0" applyBorder="1"/>
    <xf numFmtId="0" fontId="17" fillId="0" borderId="0" xfId="0" applyFont="1"/>
    <xf numFmtId="0" fontId="17" fillId="0" borderId="0" xfId="0" applyFont="1" applyAlignment="1">
      <alignment horizontal="right"/>
    </xf>
    <xf numFmtId="0" fontId="5" fillId="0" borderId="0" xfId="0" applyFont="1" applyAlignment="1">
      <alignment vertical="top" wrapText="1"/>
    </xf>
    <xf numFmtId="0" fontId="0" fillId="0" borderId="0" xfId="0"/>
    <xf numFmtId="0" fontId="15" fillId="0" borderId="0" xfId="0" applyFont="1" applyAlignment="1">
      <alignment vertical="top" wrapText="1"/>
    </xf>
  </cellXfs>
  <cellStyles count="1">
    <cellStyle name="Normal" xfId="0" builtinId="0"/>
  </cellStyles>
  <dxfs count="2">
    <dxf>
      <font>
        <b/>
        <color rgb="FF9C0006"/>
        <name val="Arial"/>
      </font>
      <fill>
        <patternFill patternType="solid">
          <fgColor rgb="FFFFC7CE"/>
        </patternFill>
      </fill>
    </dxf>
    <dxf>
      <font>
        <b/>
        <color rgb="FF006100"/>
        <name val="Arial"/>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showGridLines="0" tabSelected="1" workbookViewId="0"/>
  </sheetViews>
  <sheetFormatPr defaultRowHeight="14.4" x14ac:dyDescent="0.3"/>
  <cols>
    <col min="1" max="1" width="30" customWidth="1"/>
    <col min="2" max="2" width="110" customWidth="1"/>
  </cols>
  <sheetData>
    <row r="1" spans="1:2" ht="21" x14ac:dyDescent="0.4">
      <c r="A1" s="1" t="s">
        <v>0</v>
      </c>
    </row>
    <row r="3" spans="1:2" ht="30" customHeight="1" x14ac:dyDescent="0.3">
      <c r="A3" s="2" t="s">
        <v>1</v>
      </c>
      <c r="B3" s="3" t="s">
        <v>2</v>
      </c>
    </row>
    <row r="5" spans="1:2" ht="75" customHeight="1" x14ac:dyDescent="0.3">
      <c r="A5" s="2" t="s">
        <v>3</v>
      </c>
      <c r="B5" s="3" t="s">
        <v>4</v>
      </c>
    </row>
    <row r="7" spans="1:2" ht="30" customHeight="1" x14ac:dyDescent="0.3">
      <c r="A7" s="2" t="s">
        <v>5</v>
      </c>
      <c r="B7" s="3" t="s">
        <v>6</v>
      </c>
    </row>
    <row r="9" spans="1:2" ht="120" customHeight="1" x14ac:dyDescent="0.3">
      <c r="A9" s="2" t="s">
        <v>7</v>
      </c>
      <c r="B9" s="3" t="s">
        <v>8</v>
      </c>
    </row>
    <row r="11" spans="1:2" ht="285" customHeight="1" x14ac:dyDescent="0.3">
      <c r="A11" s="2" t="s">
        <v>9</v>
      </c>
      <c r="B11" s="3" t="s">
        <v>10</v>
      </c>
    </row>
    <row r="13" spans="1:2" ht="45" customHeight="1" x14ac:dyDescent="0.3">
      <c r="A13" s="2" t="s">
        <v>11</v>
      </c>
      <c r="B13" s="3" t="s">
        <v>12</v>
      </c>
    </row>
    <row r="15" spans="1:2" ht="15" customHeight="1" x14ac:dyDescent="0.3">
      <c r="A15" s="2" t="s">
        <v>13</v>
      </c>
      <c r="B15" s="3"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15</v>
      </c>
    </row>
    <row r="2" spans="1:5" ht="30" customHeight="1" x14ac:dyDescent="0.3">
      <c r="A2" s="55" t="s">
        <v>16</v>
      </c>
      <c r="B2" s="56"/>
      <c r="C2" s="56"/>
      <c r="D2" s="56"/>
      <c r="E2" s="56"/>
    </row>
    <row r="5" spans="1:5" x14ac:dyDescent="0.3">
      <c r="A5" s="5" t="s">
        <v>17</v>
      </c>
      <c r="B5" s="6"/>
      <c r="C5" s="6"/>
      <c r="D5" s="6"/>
      <c r="E5" s="6"/>
    </row>
    <row r="6" spans="1:5" x14ac:dyDescent="0.3">
      <c r="A6" s="7" t="s">
        <v>18</v>
      </c>
      <c r="B6" s="7" t="s">
        <v>19</v>
      </c>
      <c r="C6" s="7" t="s">
        <v>20</v>
      </c>
      <c r="D6" s="7" t="s">
        <v>21</v>
      </c>
      <c r="E6" s="7" t="s">
        <v>22</v>
      </c>
    </row>
    <row r="7" spans="1:5" ht="22.8" x14ac:dyDescent="0.3">
      <c r="A7" s="8" t="s">
        <v>23</v>
      </c>
      <c r="B7" s="9">
        <v>85</v>
      </c>
      <c r="C7" s="10" t="s">
        <v>24</v>
      </c>
      <c r="D7" s="11" t="s">
        <v>25</v>
      </c>
      <c r="E7" s="12" t="s">
        <v>26</v>
      </c>
    </row>
    <row r="8" spans="1:5" x14ac:dyDescent="0.3">
      <c r="A8" s="8" t="s">
        <v>27</v>
      </c>
      <c r="B8" s="9">
        <v>40</v>
      </c>
      <c r="C8" s="10" t="s">
        <v>28</v>
      </c>
      <c r="D8" s="11" t="s">
        <v>29</v>
      </c>
      <c r="E8" s="12" t="s">
        <v>30</v>
      </c>
    </row>
    <row r="9" spans="1:5" x14ac:dyDescent="0.3">
      <c r="A9" s="8" t="s">
        <v>31</v>
      </c>
      <c r="B9" s="13">
        <v>1.1499999999999999</v>
      </c>
      <c r="C9" s="10" t="s">
        <v>32</v>
      </c>
      <c r="D9" s="11" t="s">
        <v>33</v>
      </c>
      <c r="E9" s="12" t="s">
        <v>34</v>
      </c>
    </row>
    <row r="10" spans="1:5" ht="34.200000000000003" x14ac:dyDescent="0.3">
      <c r="A10" s="8" t="s">
        <v>35</v>
      </c>
      <c r="B10" s="9">
        <v>110</v>
      </c>
      <c r="C10" s="10" t="s">
        <v>36</v>
      </c>
      <c r="D10" s="11" t="s">
        <v>37</v>
      </c>
      <c r="E10" s="12" t="s">
        <v>38</v>
      </c>
    </row>
    <row r="11" spans="1:5" ht="26.4" x14ac:dyDescent="0.3">
      <c r="A11" s="8" t="s">
        <v>39</v>
      </c>
      <c r="B11" s="14">
        <v>1</v>
      </c>
      <c r="C11" s="10" t="s">
        <v>40</v>
      </c>
      <c r="D11" s="11" t="s">
        <v>41</v>
      </c>
      <c r="E11" s="12" t="s">
        <v>42</v>
      </c>
    </row>
  </sheetData>
  <mergeCells count="1">
    <mergeCell ref="A2:E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6"/>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43</v>
      </c>
    </row>
    <row r="2" spans="1:5" ht="30" customHeight="1" x14ac:dyDescent="0.3">
      <c r="A2" s="55" t="s">
        <v>44</v>
      </c>
      <c r="B2" s="56"/>
      <c r="C2" s="56"/>
      <c r="D2" s="56"/>
      <c r="E2" s="56"/>
    </row>
    <row r="5" spans="1:5" x14ac:dyDescent="0.3">
      <c r="A5" s="5" t="s">
        <v>45</v>
      </c>
      <c r="B5" s="6"/>
      <c r="C5" s="6"/>
      <c r="D5" s="6"/>
      <c r="E5" s="6"/>
    </row>
    <row r="6" spans="1:5" x14ac:dyDescent="0.3">
      <c r="A6" s="7" t="s">
        <v>18</v>
      </c>
      <c r="B6" s="7" t="s">
        <v>19</v>
      </c>
      <c r="C6" s="7" t="s">
        <v>20</v>
      </c>
      <c r="D6" s="7" t="s">
        <v>21</v>
      </c>
      <c r="E6" s="7" t="s">
        <v>22</v>
      </c>
    </row>
    <row r="7" spans="1:5" ht="22.8" x14ac:dyDescent="0.3">
      <c r="A7" s="8" t="s">
        <v>46</v>
      </c>
      <c r="B7" s="13">
        <v>3.1139999999999999</v>
      </c>
      <c r="C7" s="10" t="s">
        <v>47</v>
      </c>
      <c r="D7" s="11"/>
      <c r="E7" s="12" t="s">
        <v>48</v>
      </c>
    </row>
    <row r="8" spans="1:5" ht="22.8" x14ac:dyDescent="0.3">
      <c r="A8" s="8" t="s">
        <v>49</v>
      </c>
      <c r="B8" s="13">
        <v>3.1509999999999998</v>
      </c>
      <c r="C8" s="10" t="s">
        <v>47</v>
      </c>
      <c r="D8" s="11"/>
      <c r="E8" s="12" t="s">
        <v>48</v>
      </c>
    </row>
    <row r="9" spans="1:5" ht="22.8" x14ac:dyDescent="0.3">
      <c r="A9" s="8" t="s">
        <v>50</v>
      </c>
      <c r="B9" s="13">
        <v>3.206</v>
      </c>
      <c r="C9" s="10" t="s">
        <v>47</v>
      </c>
      <c r="D9" s="11"/>
      <c r="E9" s="12" t="s">
        <v>48</v>
      </c>
    </row>
    <row r="10" spans="1:5" ht="22.8" x14ac:dyDescent="0.3">
      <c r="A10" s="8" t="s">
        <v>51</v>
      </c>
      <c r="B10" s="13">
        <v>2.75</v>
      </c>
      <c r="C10" s="10" t="s">
        <v>47</v>
      </c>
      <c r="D10" s="11"/>
      <c r="E10" s="12" t="s">
        <v>48</v>
      </c>
    </row>
    <row r="11" spans="1:5" ht="22.8" x14ac:dyDescent="0.3">
      <c r="A11" s="8" t="s">
        <v>52</v>
      </c>
      <c r="B11" s="13">
        <v>1.375</v>
      </c>
      <c r="C11" s="10" t="s">
        <v>47</v>
      </c>
      <c r="D11" s="11"/>
      <c r="E11" s="12" t="s">
        <v>48</v>
      </c>
    </row>
    <row r="13" spans="1:5" x14ac:dyDescent="0.3">
      <c r="A13" s="5" t="s">
        <v>53</v>
      </c>
      <c r="B13" s="6"/>
      <c r="C13" s="6"/>
      <c r="D13" s="6"/>
      <c r="E13" s="6"/>
    </row>
    <row r="14" spans="1:5" x14ac:dyDescent="0.3">
      <c r="A14" s="7" t="s">
        <v>18</v>
      </c>
      <c r="B14" s="7" t="s">
        <v>19</v>
      </c>
      <c r="C14" s="7" t="s">
        <v>20</v>
      </c>
      <c r="D14" s="7" t="s">
        <v>21</v>
      </c>
      <c r="E14" s="7" t="s">
        <v>22</v>
      </c>
    </row>
    <row r="15" spans="1:5" x14ac:dyDescent="0.3">
      <c r="A15" s="8" t="s">
        <v>54</v>
      </c>
      <c r="B15" s="15">
        <v>5.0000000000000002E-5</v>
      </c>
      <c r="C15" s="10" t="s">
        <v>55</v>
      </c>
      <c r="D15" s="11"/>
      <c r="E15" s="12" t="s">
        <v>56</v>
      </c>
    </row>
    <row r="16" spans="1:5" x14ac:dyDescent="0.3">
      <c r="A16" s="8" t="s">
        <v>57</v>
      </c>
      <c r="B16" s="15">
        <v>1.8000000000000001E-4</v>
      </c>
      <c r="C16" s="10" t="s">
        <v>58</v>
      </c>
      <c r="D16" s="11"/>
      <c r="E16" s="12" t="s">
        <v>56</v>
      </c>
    </row>
    <row r="17" spans="1:5" ht="22.8" x14ac:dyDescent="0.3">
      <c r="A17" s="8" t="s">
        <v>59</v>
      </c>
      <c r="B17" s="14">
        <v>28</v>
      </c>
      <c r="C17" s="10"/>
      <c r="D17" s="11"/>
      <c r="E17" s="12" t="s">
        <v>60</v>
      </c>
    </row>
    <row r="18" spans="1:5" x14ac:dyDescent="0.3">
      <c r="A18" s="8" t="s">
        <v>61</v>
      </c>
      <c r="B18" s="14">
        <v>265</v>
      </c>
      <c r="C18" s="10"/>
      <c r="D18" s="11"/>
      <c r="E18" s="12" t="s">
        <v>62</v>
      </c>
    </row>
    <row r="19" spans="1:5" x14ac:dyDescent="0.3">
      <c r="A19" s="8" t="s">
        <v>63</v>
      </c>
      <c r="B19" s="16">
        <v>2026</v>
      </c>
      <c r="C19" s="10"/>
      <c r="D19" s="11"/>
      <c r="E19" s="12" t="s">
        <v>64</v>
      </c>
    </row>
    <row r="21" spans="1:5" x14ac:dyDescent="0.3">
      <c r="A21" s="5" t="s">
        <v>65</v>
      </c>
      <c r="B21" s="6"/>
      <c r="C21" s="6"/>
      <c r="D21" s="6"/>
      <c r="E21" s="6"/>
    </row>
    <row r="22" spans="1:5" x14ac:dyDescent="0.3">
      <c r="A22" s="7" t="s">
        <v>18</v>
      </c>
      <c r="B22" s="7" t="s">
        <v>19</v>
      </c>
      <c r="C22" s="7" t="s">
        <v>20</v>
      </c>
      <c r="D22" s="7" t="s">
        <v>21</v>
      </c>
      <c r="E22" s="7" t="s">
        <v>22</v>
      </c>
    </row>
    <row r="23" spans="1:5" x14ac:dyDescent="0.3">
      <c r="A23" s="8">
        <v>2023</v>
      </c>
      <c r="B23" s="17">
        <v>0</v>
      </c>
      <c r="C23" s="10" t="s">
        <v>66</v>
      </c>
      <c r="D23" s="11" t="s">
        <v>67</v>
      </c>
      <c r="E23" s="12" t="s">
        <v>68</v>
      </c>
    </row>
    <row r="24" spans="1:5" x14ac:dyDescent="0.3">
      <c r="A24" s="8">
        <v>2024</v>
      </c>
      <c r="B24" s="17">
        <v>0.4</v>
      </c>
      <c r="C24" s="10" t="s">
        <v>66</v>
      </c>
      <c r="D24" s="11" t="s">
        <v>69</v>
      </c>
      <c r="E24" s="12" t="s">
        <v>68</v>
      </c>
    </row>
    <row r="25" spans="1:5" x14ac:dyDescent="0.3">
      <c r="A25" s="8">
        <v>2025</v>
      </c>
      <c r="B25" s="17">
        <v>0.7</v>
      </c>
      <c r="C25" s="10" t="s">
        <v>66</v>
      </c>
      <c r="D25" s="11" t="s">
        <v>70</v>
      </c>
      <c r="E25" s="12" t="s">
        <v>68</v>
      </c>
    </row>
    <row r="26" spans="1:5" x14ac:dyDescent="0.3">
      <c r="A26" s="8">
        <v>2026</v>
      </c>
      <c r="B26" s="17">
        <v>1</v>
      </c>
      <c r="C26" s="10" t="s">
        <v>66</v>
      </c>
      <c r="D26" s="11" t="s">
        <v>71</v>
      </c>
      <c r="E26" s="12" t="s">
        <v>68</v>
      </c>
    </row>
    <row r="27" spans="1:5" x14ac:dyDescent="0.3">
      <c r="A27" s="8">
        <v>2027</v>
      </c>
      <c r="B27" s="17">
        <v>1</v>
      </c>
      <c r="C27" s="10" t="s">
        <v>66</v>
      </c>
      <c r="D27" s="11" t="s">
        <v>72</v>
      </c>
      <c r="E27" s="12" t="s">
        <v>68</v>
      </c>
    </row>
    <row r="28" spans="1:5" x14ac:dyDescent="0.3">
      <c r="A28" s="8">
        <v>2028</v>
      </c>
      <c r="B28" s="17">
        <v>1</v>
      </c>
      <c r="C28" s="10" t="s">
        <v>66</v>
      </c>
      <c r="D28" s="11" t="s">
        <v>73</v>
      </c>
      <c r="E28" s="12" t="s">
        <v>68</v>
      </c>
    </row>
    <row r="29" spans="1:5" x14ac:dyDescent="0.3">
      <c r="A29" s="8">
        <v>2029</v>
      </c>
      <c r="B29" s="17">
        <v>1</v>
      </c>
      <c r="C29" s="10" t="s">
        <v>66</v>
      </c>
      <c r="D29" s="11" t="s">
        <v>74</v>
      </c>
      <c r="E29" s="12" t="s">
        <v>68</v>
      </c>
    </row>
    <row r="30" spans="1:5" x14ac:dyDescent="0.3">
      <c r="A30" s="8">
        <v>2030</v>
      </c>
      <c r="B30" s="17">
        <v>1</v>
      </c>
      <c r="C30" s="10" t="s">
        <v>66</v>
      </c>
      <c r="D30" s="11" t="s">
        <v>75</v>
      </c>
      <c r="E30" s="12" t="s">
        <v>68</v>
      </c>
    </row>
    <row r="32" spans="1:5" x14ac:dyDescent="0.3">
      <c r="A32" s="5" t="s">
        <v>76</v>
      </c>
      <c r="B32" s="6"/>
      <c r="C32" s="6"/>
      <c r="D32" s="6"/>
      <c r="E32" s="6"/>
    </row>
    <row r="33" spans="1:5" x14ac:dyDescent="0.3">
      <c r="A33" s="7" t="s">
        <v>18</v>
      </c>
      <c r="B33" s="7" t="s">
        <v>19</v>
      </c>
      <c r="C33" s="7" t="s">
        <v>20</v>
      </c>
      <c r="D33" s="7" t="s">
        <v>21</v>
      </c>
      <c r="E33" s="7" t="s">
        <v>22</v>
      </c>
    </row>
    <row r="34" spans="1:5" x14ac:dyDescent="0.3">
      <c r="A34" s="8" t="s">
        <v>77</v>
      </c>
      <c r="B34" s="17">
        <v>1</v>
      </c>
      <c r="C34" s="10"/>
      <c r="D34" s="11"/>
      <c r="E34" s="12" t="s">
        <v>78</v>
      </c>
    </row>
    <row r="35" spans="1:5" x14ac:dyDescent="0.3">
      <c r="A35" s="8" t="s">
        <v>79</v>
      </c>
      <c r="B35" s="17">
        <v>0.5</v>
      </c>
      <c r="C35" s="10"/>
      <c r="D35" s="11"/>
      <c r="E35" s="12" t="s">
        <v>62</v>
      </c>
    </row>
    <row r="36" spans="1:5" x14ac:dyDescent="0.3">
      <c r="A36" s="8" t="s">
        <v>80</v>
      </c>
      <c r="B36" s="17">
        <v>1</v>
      </c>
      <c r="C36" s="10"/>
      <c r="D36" s="11"/>
      <c r="E36" s="12" t="s">
        <v>62</v>
      </c>
    </row>
    <row r="37" spans="1:5" x14ac:dyDescent="0.3">
      <c r="A37" s="8" t="s">
        <v>81</v>
      </c>
      <c r="B37" s="17">
        <v>0.5</v>
      </c>
      <c r="C37" s="10"/>
      <c r="D37" s="11"/>
      <c r="E37" s="12" t="s">
        <v>82</v>
      </c>
    </row>
    <row r="39" spans="1:5" x14ac:dyDescent="0.3">
      <c r="A39" s="5" t="s">
        <v>83</v>
      </c>
      <c r="B39" s="6"/>
      <c r="C39" s="6"/>
      <c r="D39" s="6"/>
      <c r="E39" s="6"/>
    </row>
    <row r="40" spans="1:5" x14ac:dyDescent="0.3">
      <c r="A40" s="7" t="s">
        <v>18</v>
      </c>
      <c r="B40" s="7" t="s">
        <v>19</v>
      </c>
      <c r="C40" s="7" t="s">
        <v>20</v>
      </c>
      <c r="D40" s="7" t="s">
        <v>21</v>
      </c>
      <c r="E40" s="7" t="s">
        <v>22</v>
      </c>
    </row>
    <row r="41" spans="1:5" x14ac:dyDescent="0.3">
      <c r="A41" s="8" t="s">
        <v>84</v>
      </c>
      <c r="B41" s="13">
        <v>91.16</v>
      </c>
      <c r="C41" s="10" t="s">
        <v>85</v>
      </c>
      <c r="D41" s="11"/>
      <c r="E41" s="12" t="s">
        <v>86</v>
      </c>
    </row>
    <row r="42" spans="1:5" ht="22.8" x14ac:dyDescent="0.3">
      <c r="A42" s="8">
        <v>2025</v>
      </c>
      <c r="B42" s="17">
        <v>0.02</v>
      </c>
      <c r="C42" s="10" t="s">
        <v>87</v>
      </c>
      <c r="D42" s="11" t="s">
        <v>88</v>
      </c>
      <c r="E42" s="12" t="s">
        <v>86</v>
      </c>
    </row>
    <row r="43" spans="1:5" ht="22.8" x14ac:dyDescent="0.3">
      <c r="A43" s="8">
        <v>2026</v>
      </c>
      <c r="B43" s="17">
        <v>0.02</v>
      </c>
      <c r="C43" s="10" t="s">
        <v>87</v>
      </c>
      <c r="D43" s="11" t="s">
        <v>89</v>
      </c>
      <c r="E43" s="12" t="s">
        <v>86</v>
      </c>
    </row>
    <row r="44" spans="1:5" ht="22.8" x14ac:dyDescent="0.3">
      <c r="A44" s="8">
        <v>2027</v>
      </c>
      <c r="B44" s="17">
        <v>0.02</v>
      </c>
      <c r="C44" s="10" t="s">
        <v>87</v>
      </c>
      <c r="D44" s="11" t="s">
        <v>90</v>
      </c>
      <c r="E44" s="12" t="s">
        <v>86</v>
      </c>
    </row>
    <row r="45" spans="1:5" ht="22.8" x14ac:dyDescent="0.3">
      <c r="A45" s="8">
        <v>2028</v>
      </c>
      <c r="B45" s="17">
        <v>0.02</v>
      </c>
      <c r="C45" s="10" t="s">
        <v>87</v>
      </c>
      <c r="D45" s="11" t="s">
        <v>91</v>
      </c>
      <c r="E45" s="12" t="s">
        <v>86</v>
      </c>
    </row>
    <row r="46" spans="1:5" ht="22.8" x14ac:dyDescent="0.3">
      <c r="A46" s="8">
        <v>2029</v>
      </c>
      <c r="B46" s="17">
        <v>0.02</v>
      </c>
      <c r="C46" s="10" t="s">
        <v>87</v>
      </c>
      <c r="D46" s="11" t="s">
        <v>92</v>
      </c>
      <c r="E46" s="12" t="s">
        <v>86</v>
      </c>
    </row>
    <row r="47" spans="1:5" ht="22.8" x14ac:dyDescent="0.3">
      <c r="A47" s="8">
        <v>2030</v>
      </c>
      <c r="B47" s="17">
        <v>0.06</v>
      </c>
      <c r="C47" s="10" t="s">
        <v>87</v>
      </c>
      <c r="D47" s="11" t="s">
        <v>93</v>
      </c>
      <c r="E47" s="12" t="s">
        <v>86</v>
      </c>
    </row>
    <row r="48" spans="1:5" ht="22.8" x14ac:dyDescent="0.3">
      <c r="A48" s="8">
        <v>2035</v>
      </c>
      <c r="B48" s="17">
        <v>0.14499999999999999</v>
      </c>
      <c r="C48" s="10" t="s">
        <v>87</v>
      </c>
      <c r="D48" s="11" t="s">
        <v>94</v>
      </c>
      <c r="E48" s="12" t="s">
        <v>86</v>
      </c>
    </row>
    <row r="49" spans="1:5" x14ac:dyDescent="0.3">
      <c r="A49" s="8" t="s">
        <v>95</v>
      </c>
      <c r="B49" s="14">
        <v>40500</v>
      </c>
      <c r="C49" s="10" t="s">
        <v>96</v>
      </c>
      <c r="D49" s="11"/>
      <c r="E49" s="12" t="s">
        <v>97</v>
      </c>
    </row>
    <row r="50" spans="1:5" x14ac:dyDescent="0.3">
      <c r="A50" s="8" t="s">
        <v>98</v>
      </c>
      <c r="B50" s="13">
        <v>91.74</v>
      </c>
      <c r="C50" s="10" t="s">
        <v>85</v>
      </c>
      <c r="D50" s="11"/>
      <c r="E50" s="12" t="s">
        <v>99</v>
      </c>
    </row>
    <row r="51" spans="1:5" x14ac:dyDescent="0.3">
      <c r="A51" s="8" t="s">
        <v>100</v>
      </c>
      <c r="B51" s="14">
        <v>42700</v>
      </c>
      <c r="C51" s="10" t="s">
        <v>96</v>
      </c>
      <c r="D51" s="11"/>
      <c r="E51" s="12" t="s">
        <v>97</v>
      </c>
    </row>
    <row r="52" spans="1:5" x14ac:dyDescent="0.3">
      <c r="A52" s="8" t="s">
        <v>101</v>
      </c>
      <c r="B52" s="13">
        <v>90.77</v>
      </c>
      <c r="C52" s="10" t="s">
        <v>85</v>
      </c>
      <c r="D52" s="11"/>
      <c r="E52" s="12" t="s">
        <v>102</v>
      </c>
    </row>
    <row r="53" spans="1:5" ht="26.4" x14ac:dyDescent="0.3">
      <c r="A53" s="8" t="s">
        <v>103</v>
      </c>
      <c r="B53" s="14">
        <v>2400</v>
      </c>
      <c r="C53" s="10" t="s">
        <v>104</v>
      </c>
      <c r="D53" s="11"/>
      <c r="E53" s="12" t="s">
        <v>105</v>
      </c>
    </row>
    <row r="54" spans="1:5" x14ac:dyDescent="0.3">
      <c r="A54" s="8" t="s">
        <v>106</v>
      </c>
      <c r="B54" s="14">
        <v>41000</v>
      </c>
      <c r="C54" s="10" t="s">
        <v>107</v>
      </c>
      <c r="D54" s="11"/>
      <c r="E54" s="12" t="s">
        <v>62</v>
      </c>
    </row>
    <row r="56" spans="1:5" x14ac:dyDescent="0.3">
      <c r="A56" s="5" t="s">
        <v>108</v>
      </c>
      <c r="B56" s="6"/>
      <c r="C56" s="6"/>
      <c r="D56" s="6"/>
      <c r="E56" s="6"/>
    </row>
    <row r="57" spans="1:5" x14ac:dyDescent="0.3">
      <c r="A57" s="7" t="s">
        <v>18</v>
      </c>
      <c r="B57" s="7" t="s">
        <v>19</v>
      </c>
      <c r="C57" s="7" t="s">
        <v>20</v>
      </c>
      <c r="D57" s="7" t="s">
        <v>21</v>
      </c>
      <c r="E57" s="7" t="s">
        <v>22</v>
      </c>
    </row>
    <row r="58" spans="1:5" x14ac:dyDescent="0.3">
      <c r="A58" s="8" t="s">
        <v>109</v>
      </c>
      <c r="B58" s="14">
        <v>4745</v>
      </c>
      <c r="C58" s="10"/>
      <c r="D58" s="11" t="s">
        <v>110</v>
      </c>
      <c r="E58" s="12" t="s">
        <v>111</v>
      </c>
    </row>
    <row r="59" spans="1:5" x14ac:dyDescent="0.3">
      <c r="A59" s="8" t="s">
        <v>112</v>
      </c>
      <c r="B59" s="13">
        <v>0.622</v>
      </c>
      <c r="C59" s="10"/>
      <c r="D59" s="11"/>
      <c r="E59" s="12" t="s">
        <v>62</v>
      </c>
    </row>
    <row r="60" spans="1:5" x14ac:dyDescent="0.3">
      <c r="A60" s="8" t="s">
        <v>113</v>
      </c>
      <c r="B60" s="14">
        <v>1984</v>
      </c>
      <c r="C60" s="10"/>
      <c r="D60" s="11"/>
      <c r="E60" s="12" t="s">
        <v>62</v>
      </c>
    </row>
    <row r="61" spans="1:5" x14ac:dyDescent="0.3">
      <c r="A61" s="8" t="s">
        <v>114</v>
      </c>
      <c r="B61" s="13">
        <v>0.48899999999999999</v>
      </c>
      <c r="C61" s="10"/>
      <c r="D61" s="11"/>
      <c r="E61" s="12" t="s">
        <v>62</v>
      </c>
    </row>
    <row r="62" spans="1:5" x14ac:dyDescent="0.3">
      <c r="A62" s="8" t="s">
        <v>115</v>
      </c>
      <c r="B62" s="13">
        <v>0.86</v>
      </c>
      <c r="C62" s="10" t="s">
        <v>116</v>
      </c>
      <c r="D62" s="11"/>
      <c r="E62" s="12" t="s">
        <v>117</v>
      </c>
    </row>
    <row r="63" spans="1:5" x14ac:dyDescent="0.3">
      <c r="A63" s="8" t="s">
        <v>118</v>
      </c>
      <c r="B63" s="13">
        <v>0.94</v>
      </c>
      <c r="C63" s="10" t="s">
        <v>116</v>
      </c>
      <c r="D63" s="11"/>
      <c r="E63" s="12" t="s">
        <v>117</v>
      </c>
    </row>
    <row r="64" spans="1:5" x14ac:dyDescent="0.3">
      <c r="A64" s="8" t="s">
        <v>119</v>
      </c>
      <c r="B64" s="13">
        <v>1.06</v>
      </c>
      <c r="C64" s="10" t="s">
        <v>116</v>
      </c>
      <c r="D64" s="11"/>
      <c r="E64" s="12" t="s">
        <v>117</v>
      </c>
    </row>
    <row r="65" spans="1:5" x14ac:dyDescent="0.3">
      <c r="A65" s="8" t="s">
        <v>120</v>
      </c>
      <c r="B65" s="13">
        <v>1.18</v>
      </c>
      <c r="C65" s="10" t="s">
        <v>116</v>
      </c>
      <c r="D65" s="11"/>
      <c r="E65" s="12" t="s">
        <v>117</v>
      </c>
    </row>
    <row r="66" spans="1:5" x14ac:dyDescent="0.3">
      <c r="A66" s="8" t="s">
        <v>121</v>
      </c>
      <c r="B66" s="13">
        <v>0.83</v>
      </c>
      <c r="C66" s="10" t="s">
        <v>116</v>
      </c>
      <c r="D66" s="11"/>
      <c r="E66" s="12" t="s">
        <v>117</v>
      </c>
    </row>
    <row r="67" spans="1:5" x14ac:dyDescent="0.3">
      <c r="A67" s="8" t="s">
        <v>122</v>
      </c>
      <c r="B67" s="13">
        <v>0.94</v>
      </c>
      <c r="C67" s="10" t="s">
        <v>116</v>
      </c>
      <c r="D67" s="11"/>
      <c r="E67" s="12" t="s">
        <v>117</v>
      </c>
    </row>
    <row r="68" spans="1:5" x14ac:dyDescent="0.3">
      <c r="A68" s="8" t="s">
        <v>123</v>
      </c>
      <c r="B68" s="13">
        <v>1.07</v>
      </c>
      <c r="C68" s="10" t="s">
        <v>116</v>
      </c>
      <c r="D68" s="11"/>
      <c r="E68" s="12" t="s">
        <v>117</v>
      </c>
    </row>
    <row r="69" spans="1:5" x14ac:dyDescent="0.3">
      <c r="A69" s="8" t="s">
        <v>124</v>
      </c>
      <c r="B69" s="13">
        <v>1.19</v>
      </c>
      <c r="C69" s="10" t="s">
        <v>116</v>
      </c>
      <c r="D69" s="11"/>
      <c r="E69" s="12" t="s">
        <v>117</v>
      </c>
    </row>
    <row r="70" spans="1:5" x14ac:dyDescent="0.3">
      <c r="A70" s="8">
        <v>2023</v>
      </c>
      <c r="B70" s="17">
        <v>0.05</v>
      </c>
      <c r="C70" s="10" t="s">
        <v>125</v>
      </c>
      <c r="D70" s="11" t="s">
        <v>126</v>
      </c>
      <c r="E70" s="12" t="s">
        <v>127</v>
      </c>
    </row>
    <row r="71" spans="1:5" x14ac:dyDescent="0.3">
      <c r="A71" s="8">
        <v>2024</v>
      </c>
      <c r="B71" s="17">
        <v>7.0000000000000007E-2</v>
      </c>
      <c r="C71" s="10" t="s">
        <v>125</v>
      </c>
      <c r="D71" s="11" t="s">
        <v>128</v>
      </c>
      <c r="E71" s="12" t="s">
        <v>127</v>
      </c>
    </row>
    <row r="72" spans="1:5" x14ac:dyDescent="0.3">
      <c r="A72" s="8">
        <v>2025</v>
      </c>
      <c r="B72" s="17">
        <v>0.09</v>
      </c>
      <c r="C72" s="10" t="s">
        <v>125</v>
      </c>
      <c r="D72" s="11" t="s">
        <v>129</v>
      </c>
      <c r="E72" s="12" t="s">
        <v>127</v>
      </c>
    </row>
    <row r="73" spans="1:5" x14ac:dyDescent="0.3">
      <c r="A73" s="8">
        <v>2026</v>
      </c>
      <c r="B73" s="17">
        <v>0.11</v>
      </c>
      <c r="C73" s="10" t="s">
        <v>125</v>
      </c>
      <c r="D73" s="11" t="s">
        <v>130</v>
      </c>
      <c r="E73" s="12" t="s">
        <v>127</v>
      </c>
    </row>
    <row r="74" spans="1:5" x14ac:dyDescent="0.3">
      <c r="A74" s="8">
        <v>2027</v>
      </c>
      <c r="B74" s="17">
        <v>0.13625000000000001</v>
      </c>
      <c r="C74" s="10" t="s">
        <v>125</v>
      </c>
      <c r="D74" s="11" t="s">
        <v>131</v>
      </c>
      <c r="E74" s="12" t="s">
        <v>127</v>
      </c>
    </row>
    <row r="75" spans="1:5" x14ac:dyDescent="0.3">
      <c r="A75" s="8">
        <v>2028</v>
      </c>
      <c r="B75" s="17">
        <v>0.16250000000000001</v>
      </c>
      <c r="C75" s="10" t="s">
        <v>125</v>
      </c>
      <c r="D75" s="11" t="s">
        <v>132</v>
      </c>
      <c r="E75" s="12" t="s">
        <v>127</v>
      </c>
    </row>
    <row r="76" spans="1:5" x14ac:dyDescent="0.3">
      <c r="A76" s="8">
        <v>2029</v>
      </c>
      <c r="B76" s="17">
        <v>0.18875</v>
      </c>
      <c r="C76" s="10" t="s">
        <v>125</v>
      </c>
      <c r="D76" s="11" t="s">
        <v>133</v>
      </c>
      <c r="E76" s="12" t="s">
        <v>127</v>
      </c>
    </row>
    <row r="77" spans="1:5" x14ac:dyDescent="0.3">
      <c r="A77" s="8">
        <v>2030</v>
      </c>
      <c r="B77" s="17">
        <v>0.215</v>
      </c>
      <c r="C77" s="10" t="s">
        <v>125</v>
      </c>
      <c r="D77" s="11" t="s">
        <v>134</v>
      </c>
      <c r="E77" s="12" t="s">
        <v>127</v>
      </c>
    </row>
    <row r="79" spans="1:5" x14ac:dyDescent="0.3">
      <c r="A79" s="5" t="s">
        <v>135</v>
      </c>
      <c r="B79" s="6"/>
      <c r="C79" s="6"/>
      <c r="D79" s="6"/>
      <c r="E79" s="6"/>
    </row>
    <row r="80" spans="1:5" x14ac:dyDescent="0.3">
      <c r="A80" s="7" t="s">
        <v>18</v>
      </c>
      <c r="B80" s="7" t="s">
        <v>19</v>
      </c>
      <c r="C80" s="7" t="s">
        <v>20</v>
      </c>
      <c r="D80" s="7" t="s">
        <v>21</v>
      </c>
      <c r="E80" s="7" t="s">
        <v>22</v>
      </c>
    </row>
    <row r="81" spans="1:5" x14ac:dyDescent="0.3">
      <c r="A81" s="8" t="s">
        <v>136</v>
      </c>
      <c r="B81" s="13">
        <v>961.79</v>
      </c>
      <c r="C81" s="10"/>
      <c r="D81" s="11" t="s">
        <v>137</v>
      </c>
      <c r="E81" s="12" t="s">
        <v>138</v>
      </c>
    </row>
    <row r="82" spans="1:5" x14ac:dyDescent="0.3">
      <c r="A82" s="8" t="s">
        <v>139</v>
      </c>
      <c r="B82" s="13">
        <v>0.47699999999999998</v>
      </c>
      <c r="C82" s="10"/>
      <c r="D82" s="11"/>
      <c r="E82" s="12" t="s">
        <v>62</v>
      </c>
    </row>
    <row r="83" spans="1:5" x14ac:dyDescent="0.3">
      <c r="A83" s="8" t="s">
        <v>140</v>
      </c>
      <c r="B83" s="17">
        <v>0.2</v>
      </c>
      <c r="C83" s="10"/>
      <c r="D83" s="11"/>
      <c r="E83" s="12" t="s">
        <v>141</v>
      </c>
    </row>
    <row r="85" spans="1:5" x14ac:dyDescent="0.3">
      <c r="A85" s="5" t="s">
        <v>142</v>
      </c>
      <c r="B85" s="6"/>
      <c r="C85" s="6"/>
      <c r="D85" s="6"/>
      <c r="E85" s="6"/>
    </row>
    <row r="86" spans="1:5" x14ac:dyDescent="0.3">
      <c r="A86" s="7" t="s">
        <v>18</v>
      </c>
      <c r="B86" s="7" t="s">
        <v>19</v>
      </c>
      <c r="C86" s="7" t="s">
        <v>20</v>
      </c>
      <c r="D86" s="7" t="s">
        <v>21</v>
      </c>
      <c r="E86" s="7" t="s">
        <v>22</v>
      </c>
    </row>
    <row r="87" spans="1:5" x14ac:dyDescent="0.3">
      <c r="A87" s="8" t="s">
        <v>143</v>
      </c>
      <c r="B87" s="13">
        <v>2.75</v>
      </c>
      <c r="C87" s="10" t="s">
        <v>144</v>
      </c>
      <c r="D87" s="11"/>
      <c r="E87" s="12" t="s">
        <v>145</v>
      </c>
    </row>
    <row r="88" spans="1:5" x14ac:dyDescent="0.3">
      <c r="A88" s="8" t="s">
        <v>146</v>
      </c>
      <c r="B88" s="14">
        <v>175</v>
      </c>
      <c r="C88" s="10" t="s">
        <v>147</v>
      </c>
      <c r="D88" s="11"/>
      <c r="E88" s="12" t="s">
        <v>62</v>
      </c>
    </row>
    <row r="90" spans="1:5" x14ac:dyDescent="0.3">
      <c r="A90" s="5" t="s">
        <v>148</v>
      </c>
      <c r="B90" s="6"/>
      <c r="C90" s="6"/>
      <c r="D90" s="6"/>
      <c r="E90" s="6"/>
    </row>
    <row r="91" spans="1:5" x14ac:dyDescent="0.3">
      <c r="A91" s="7" t="s">
        <v>18</v>
      </c>
      <c r="B91" s="7" t="s">
        <v>19</v>
      </c>
      <c r="C91" s="7" t="s">
        <v>20</v>
      </c>
      <c r="D91" s="7" t="s">
        <v>21</v>
      </c>
      <c r="E91" s="7" t="s">
        <v>22</v>
      </c>
    </row>
    <row r="92" spans="1:5" x14ac:dyDescent="0.3">
      <c r="A92" s="8" t="s">
        <v>149</v>
      </c>
      <c r="B92" s="13">
        <v>93.3</v>
      </c>
      <c r="C92" s="10" t="s">
        <v>85</v>
      </c>
      <c r="D92" s="11"/>
      <c r="E92" s="12" t="s">
        <v>150</v>
      </c>
    </row>
    <row r="93" spans="1:5" x14ac:dyDescent="0.3">
      <c r="A93" s="8" t="s">
        <v>151</v>
      </c>
      <c r="B93" s="17">
        <v>0.04</v>
      </c>
      <c r="C93" s="10"/>
      <c r="D93" s="11"/>
      <c r="E93" s="12" t="s">
        <v>62</v>
      </c>
    </row>
    <row r="94" spans="1:5" x14ac:dyDescent="0.3">
      <c r="A94" s="8" t="s">
        <v>152</v>
      </c>
      <c r="B94" s="17">
        <v>0.17</v>
      </c>
      <c r="C94" s="10"/>
      <c r="D94" s="11"/>
      <c r="E94" s="12" t="s">
        <v>62</v>
      </c>
    </row>
    <row r="95" spans="1:5" x14ac:dyDescent="0.3">
      <c r="A95" s="8" t="s">
        <v>153</v>
      </c>
      <c r="B95" s="14">
        <v>100</v>
      </c>
      <c r="C95" s="10" t="s">
        <v>154</v>
      </c>
      <c r="D95" s="11"/>
      <c r="E95" s="12" t="s">
        <v>62</v>
      </c>
    </row>
    <row r="96" spans="1:5" x14ac:dyDescent="0.3">
      <c r="A96" s="8" t="s">
        <v>155</v>
      </c>
      <c r="B96" s="14">
        <v>380</v>
      </c>
      <c r="C96" s="10" t="s">
        <v>154</v>
      </c>
      <c r="D96" s="11"/>
      <c r="E96" s="12" t="s">
        <v>62</v>
      </c>
    </row>
  </sheetData>
  <mergeCells count="1">
    <mergeCell ref="A2:E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5"/>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156</v>
      </c>
    </row>
    <row r="2" spans="1:5" ht="30" customHeight="1" x14ac:dyDescent="0.3">
      <c r="A2" s="55" t="s">
        <v>157</v>
      </c>
      <c r="B2" s="56"/>
      <c r="C2" s="56"/>
      <c r="D2" s="56"/>
      <c r="E2" s="56"/>
    </row>
    <row r="5" spans="1:5" x14ac:dyDescent="0.3">
      <c r="A5" s="5" t="s">
        <v>158</v>
      </c>
      <c r="B5" s="6"/>
      <c r="C5" s="6"/>
      <c r="D5" s="6"/>
      <c r="E5" s="6"/>
    </row>
    <row r="6" spans="1:5" x14ac:dyDescent="0.3">
      <c r="A6" s="7" t="s">
        <v>18</v>
      </c>
      <c r="B6" s="7" t="s">
        <v>19</v>
      </c>
      <c r="C6" s="7" t="s">
        <v>20</v>
      </c>
      <c r="D6" s="7" t="s">
        <v>21</v>
      </c>
      <c r="E6" s="7" t="s">
        <v>22</v>
      </c>
    </row>
    <row r="7" spans="1:5" x14ac:dyDescent="0.3">
      <c r="A7" s="8" t="s">
        <v>159</v>
      </c>
      <c r="B7" s="16">
        <v>2025</v>
      </c>
      <c r="C7" s="10"/>
      <c r="D7" s="11"/>
      <c r="E7" s="12" t="s">
        <v>160</v>
      </c>
    </row>
    <row r="8" spans="1:5" x14ac:dyDescent="0.3">
      <c r="A8" s="8" t="s">
        <v>161</v>
      </c>
      <c r="B8" s="18">
        <v>602.76324999999997</v>
      </c>
      <c r="C8" s="10" t="s">
        <v>162</v>
      </c>
      <c r="D8" s="11"/>
      <c r="E8" s="12" t="s">
        <v>163</v>
      </c>
    </row>
    <row r="9" spans="1:5" x14ac:dyDescent="0.3">
      <c r="A9" s="8" t="s">
        <v>164</v>
      </c>
      <c r="B9" s="18">
        <v>5346.6825600000002</v>
      </c>
      <c r="C9" s="10" t="s">
        <v>162</v>
      </c>
      <c r="D9" s="11"/>
      <c r="E9" s="12" t="s">
        <v>62</v>
      </c>
    </row>
    <row r="10" spans="1:5" x14ac:dyDescent="0.3">
      <c r="A10" s="8" t="s">
        <v>165</v>
      </c>
      <c r="B10" s="18">
        <v>7493.6838399999997</v>
      </c>
      <c r="C10" s="10" t="s">
        <v>162</v>
      </c>
      <c r="D10" s="11"/>
      <c r="E10" s="12" t="s">
        <v>62</v>
      </c>
    </row>
    <row r="11" spans="1:5" x14ac:dyDescent="0.3">
      <c r="A11" s="8" t="s">
        <v>166</v>
      </c>
      <c r="B11" s="18">
        <v>386.02269000000001</v>
      </c>
      <c r="C11" s="10" t="s">
        <v>162</v>
      </c>
      <c r="D11" s="11"/>
      <c r="E11" s="12" t="s">
        <v>62</v>
      </c>
    </row>
    <row r="12" spans="1:5" ht="22.8" x14ac:dyDescent="0.3">
      <c r="A12" s="8" t="s">
        <v>167</v>
      </c>
      <c r="B12" s="18">
        <v>7408.9691400000002</v>
      </c>
      <c r="C12" s="10" t="s">
        <v>162</v>
      </c>
      <c r="D12" s="11"/>
      <c r="E12" s="12" t="s">
        <v>168</v>
      </c>
    </row>
    <row r="13" spans="1:5" x14ac:dyDescent="0.3">
      <c r="A13" s="8" t="s">
        <v>169</v>
      </c>
      <c r="B13" s="19">
        <f>$B$8*'Rule tables'!$B$34</f>
        <v>602.76324999999997</v>
      </c>
      <c r="C13" s="10" t="s">
        <v>162</v>
      </c>
      <c r="D13" s="11" t="s">
        <v>170</v>
      </c>
      <c r="E13" s="12"/>
    </row>
    <row r="14" spans="1:5" x14ac:dyDescent="0.3">
      <c r="A14" s="8" t="s">
        <v>171</v>
      </c>
      <c r="B14" s="19">
        <f>($B$9+$B$10)*'Rule tables'!$B$35</f>
        <v>6420.1831999999995</v>
      </c>
      <c r="C14" s="10" t="s">
        <v>162</v>
      </c>
      <c r="D14" s="11" t="s">
        <v>172</v>
      </c>
      <c r="E14" s="12"/>
    </row>
    <row r="15" spans="1:5" x14ac:dyDescent="0.3">
      <c r="A15" s="8" t="s">
        <v>173</v>
      </c>
      <c r="B15" s="19">
        <f>$B$11*'Rule tables'!$B$36</f>
        <v>386.02269000000001</v>
      </c>
      <c r="C15" s="10" t="s">
        <v>162</v>
      </c>
      <c r="D15" s="11" t="s">
        <v>174</v>
      </c>
      <c r="E15" s="12"/>
    </row>
    <row r="16" spans="1:5" x14ac:dyDescent="0.3">
      <c r="A16" s="8" t="s">
        <v>175</v>
      </c>
      <c r="B16" s="20">
        <f>$B$13+$B$14+$B$15</f>
        <v>7408.9691399999992</v>
      </c>
      <c r="C16" s="10" t="s">
        <v>162</v>
      </c>
      <c r="D16" s="11" t="s">
        <v>176</v>
      </c>
      <c r="E16" s="12"/>
    </row>
    <row r="17" spans="1:5" x14ac:dyDescent="0.3">
      <c r="A17" s="8" t="s">
        <v>177</v>
      </c>
      <c r="B17" s="21">
        <f>IF($B$16=0,0,$B$12/$B$16)</f>
        <v>1.0000000000000002</v>
      </c>
      <c r="C17" s="10"/>
      <c r="D17" s="11" t="s">
        <v>178</v>
      </c>
      <c r="E17" s="12"/>
    </row>
    <row r="18" spans="1:5" x14ac:dyDescent="0.3">
      <c r="A18" s="8" t="s">
        <v>179</v>
      </c>
      <c r="B18" s="20">
        <f>$B$16*$B$17</f>
        <v>7408.9691400000011</v>
      </c>
      <c r="C18" s="10" t="s">
        <v>162</v>
      </c>
      <c r="D18" s="11" t="s">
        <v>180</v>
      </c>
      <c r="E18" s="12"/>
    </row>
    <row r="19" spans="1:5" x14ac:dyDescent="0.3">
      <c r="A19" s="8" t="s">
        <v>181</v>
      </c>
      <c r="B19" s="22">
        <f>INDEX('Rule tables'!$B$23:$B$30,MATCH($B$7,'Rule tables'!$A$23:$A$30,0))</f>
        <v>0.7</v>
      </c>
      <c r="C19" s="10"/>
      <c r="D19" s="11" t="s">
        <v>182</v>
      </c>
      <c r="E19" s="12"/>
    </row>
    <row r="20" spans="1:5" x14ac:dyDescent="0.3">
      <c r="A20" s="8" t="s">
        <v>183</v>
      </c>
      <c r="B20" s="23">
        <f>$B$18*$B$19</f>
        <v>5186.2783980000004</v>
      </c>
      <c r="C20" s="10" t="s">
        <v>184</v>
      </c>
      <c r="D20" s="11" t="s">
        <v>185</v>
      </c>
      <c r="E20" s="12"/>
    </row>
    <row r="21" spans="1:5" x14ac:dyDescent="0.3">
      <c r="A21" s="24" t="s">
        <v>186</v>
      </c>
      <c r="B21" s="25">
        <f>$B$20*Assumptions!$B$7</f>
        <v>440833.66383000003</v>
      </c>
      <c r="C21" s="10" t="s">
        <v>187</v>
      </c>
      <c r="D21" s="11" t="s">
        <v>188</v>
      </c>
      <c r="E21" s="12"/>
    </row>
    <row r="22" spans="1:5" x14ac:dyDescent="0.3">
      <c r="A22" s="8" t="s">
        <v>189</v>
      </c>
      <c r="B22" s="26">
        <f>$B$18*'Rule tables'!$B$26*Assumptions!$B$7</f>
        <v>629762.37690000003</v>
      </c>
      <c r="C22" s="10" t="s">
        <v>187</v>
      </c>
      <c r="D22" s="11" t="s">
        <v>190</v>
      </c>
      <c r="E22" s="12"/>
    </row>
    <row r="24" spans="1:5" x14ac:dyDescent="0.3">
      <c r="A24" s="5" t="s">
        <v>191</v>
      </c>
      <c r="B24" s="6"/>
      <c r="C24" s="6"/>
      <c r="D24" s="6"/>
      <c r="E24" s="6"/>
    </row>
    <row r="25" spans="1:5" x14ac:dyDescent="0.3">
      <c r="A25" s="7" t="s">
        <v>18</v>
      </c>
      <c r="B25" s="7" t="s">
        <v>19</v>
      </c>
      <c r="C25" s="7" t="s">
        <v>20</v>
      </c>
      <c r="D25" s="7" t="s">
        <v>21</v>
      </c>
      <c r="E25" s="7" t="s">
        <v>22</v>
      </c>
    </row>
    <row r="26" spans="1:5" x14ac:dyDescent="0.3">
      <c r="A26" s="8" t="s">
        <v>159</v>
      </c>
      <c r="B26" s="16">
        <v>2026</v>
      </c>
      <c r="C26" s="10"/>
      <c r="D26" s="11"/>
      <c r="E26" s="12" t="s">
        <v>192</v>
      </c>
    </row>
    <row r="27" spans="1:5" x14ac:dyDescent="0.3">
      <c r="A27" s="8" t="s">
        <v>193</v>
      </c>
      <c r="B27" s="18">
        <v>3000</v>
      </c>
      <c r="C27" s="10" t="s">
        <v>162</v>
      </c>
      <c r="D27" s="11"/>
      <c r="E27" s="12" t="s">
        <v>192</v>
      </c>
    </row>
    <row r="28" spans="1:5" x14ac:dyDescent="0.3">
      <c r="A28" s="8" t="s">
        <v>194</v>
      </c>
      <c r="B28" s="27">
        <f>$B$27*'Rule tables'!$B$7</f>
        <v>9342</v>
      </c>
      <c r="C28" s="10" t="s">
        <v>162</v>
      </c>
      <c r="D28" s="11" t="s">
        <v>195</v>
      </c>
      <c r="E28" s="12"/>
    </row>
    <row r="29" spans="1:5" x14ac:dyDescent="0.3">
      <c r="A29" s="8" t="s">
        <v>196</v>
      </c>
      <c r="B29" s="23">
        <f>IF($B$26&gt;='Rule tables'!$B$19,$B$27*'Rule tables'!$B$15*'Rule tables'!$B$17,0)</f>
        <v>4.2</v>
      </c>
      <c r="C29" s="10" t="s">
        <v>197</v>
      </c>
      <c r="D29" s="11" t="s">
        <v>198</v>
      </c>
      <c r="E29" s="12"/>
    </row>
    <row r="30" spans="1:5" x14ac:dyDescent="0.3">
      <c r="A30" s="8" t="s">
        <v>199</v>
      </c>
      <c r="B30" s="23">
        <f>IF($B$26&gt;='Rule tables'!$B$19,$B$27*'Rule tables'!$B$16*'Rule tables'!$B$18,0)</f>
        <v>143.10000000000002</v>
      </c>
      <c r="C30" s="10" t="s">
        <v>197</v>
      </c>
      <c r="D30" s="11" t="s">
        <v>200</v>
      </c>
      <c r="E30" s="12"/>
    </row>
    <row r="31" spans="1:5" x14ac:dyDescent="0.3">
      <c r="A31" s="8" t="s">
        <v>201</v>
      </c>
      <c r="B31" s="27">
        <f>($B$28+$B$29+$B$30)*'Rule tables'!$B$34</f>
        <v>9489.3000000000011</v>
      </c>
      <c r="C31" s="10" t="s">
        <v>197</v>
      </c>
      <c r="D31" s="11" t="s">
        <v>202</v>
      </c>
      <c r="E31" s="12"/>
    </row>
    <row r="32" spans="1:5" x14ac:dyDescent="0.3">
      <c r="A32" s="8" t="s">
        <v>203</v>
      </c>
      <c r="B32" s="22">
        <f>INDEX('Rule tables'!$B$23:$B$30,MATCH($B$26,'Rule tables'!$A$23:$A$30,0))</f>
        <v>1</v>
      </c>
      <c r="C32" s="10"/>
      <c r="D32" s="11"/>
      <c r="E32" s="12"/>
    </row>
    <row r="33" spans="1:5" x14ac:dyDescent="0.3">
      <c r="A33" s="8" t="s">
        <v>183</v>
      </c>
      <c r="B33" s="23">
        <f>$B$31*$B$32</f>
        <v>9489.3000000000011</v>
      </c>
      <c r="C33" s="10" t="s">
        <v>184</v>
      </c>
      <c r="D33" s="11"/>
      <c r="E33" s="12"/>
    </row>
    <row r="34" spans="1:5" x14ac:dyDescent="0.3">
      <c r="A34" s="24" t="s">
        <v>186</v>
      </c>
      <c r="B34" s="25">
        <f>$B$33*Assumptions!$B$7</f>
        <v>806590.50000000012</v>
      </c>
      <c r="C34" s="10" t="s">
        <v>187</v>
      </c>
      <c r="D34" s="11"/>
      <c r="E34" s="12"/>
    </row>
    <row r="35" spans="1:5" ht="30" customHeight="1" x14ac:dyDescent="0.3">
      <c r="A35" s="57" t="s">
        <v>204</v>
      </c>
      <c r="B35" s="56"/>
      <c r="C35" s="56"/>
      <c r="D35" s="56"/>
      <c r="E35" s="56"/>
    </row>
  </sheetData>
  <mergeCells count="2">
    <mergeCell ref="A2:E2"/>
    <mergeCell ref="A35:E3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2"/>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205</v>
      </c>
    </row>
    <row r="2" spans="1:5" ht="30" customHeight="1" x14ac:dyDescent="0.3">
      <c r="A2" s="55" t="s">
        <v>206</v>
      </c>
      <c r="B2" s="56"/>
      <c r="C2" s="56"/>
      <c r="D2" s="56"/>
      <c r="E2" s="56"/>
    </row>
    <row r="5" spans="1:5" x14ac:dyDescent="0.3">
      <c r="A5" s="5" t="s">
        <v>207</v>
      </c>
      <c r="B5" s="6"/>
      <c r="C5" s="6"/>
      <c r="D5" s="6"/>
      <c r="E5" s="6"/>
    </row>
    <row r="6" spans="1:5" x14ac:dyDescent="0.3">
      <c r="A6" s="7" t="s">
        <v>18</v>
      </c>
      <c r="B6" s="7" t="s">
        <v>19</v>
      </c>
      <c r="C6" s="7" t="s">
        <v>20</v>
      </c>
      <c r="D6" s="7" t="s">
        <v>21</v>
      </c>
      <c r="E6" s="7" t="s">
        <v>22</v>
      </c>
    </row>
    <row r="7" spans="1:5" x14ac:dyDescent="0.3">
      <c r="A7" s="8" t="s">
        <v>208</v>
      </c>
      <c r="B7" s="16">
        <v>2026</v>
      </c>
      <c r="C7" s="10"/>
      <c r="D7" s="11"/>
      <c r="E7" s="12"/>
    </row>
    <row r="8" spans="1:5" x14ac:dyDescent="0.3">
      <c r="A8" s="8" t="s">
        <v>209</v>
      </c>
      <c r="B8" s="23">
        <f>'Rule tables'!$B$7*3000</f>
        <v>9342</v>
      </c>
      <c r="C8" s="10" t="s">
        <v>162</v>
      </c>
      <c r="D8" s="11"/>
      <c r="E8" s="12" t="s">
        <v>192</v>
      </c>
    </row>
    <row r="9" spans="1:5" x14ac:dyDescent="0.3">
      <c r="A9" s="8" t="s">
        <v>210</v>
      </c>
      <c r="B9" s="18">
        <v>3000</v>
      </c>
      <c r="C9" s="10" t="s">
        <v>162</v>
      </c>
      <c r="D9" s="11"/>
      <c r="E9" s="12" t="s">
        <v>192</v>
      </c>
    </row>
    <row r="10" spans="1:5" x14ac:dyDescent="0.3">
      <c r="A10" s="8" t="s">
        <v>211</v>
      </c>
      <c r="B10" s="21">
        <f>$B$8/$B$9</f>
        <v>3.1139999999999999</v>
      </c>
      <c r="C10" s="10" t="s">
        <v>47</v>
      </c>
      <c r="D10" s="11" t="s">
        <v>212</v>
      </c>
      <c r="E10" s="12"/>
    </row>
    <row r="11" spans="1:5" x14ac:dyDescent="0.3">
      <c r="A11" s="8" t="s">
        <v>213</v>
      </c>
      <c r="B11" s="22">
        <f>MAX(0,MIN(1,($B$10-'Rule tables'!$B$7)/('Rule tables'!$B$9-'Rule tables'!$B$7)))</f>
        <v>0</v>
      </c>
      <c r="C11" s="10"/>
      <c r="D11" s="11" t="s">
        <v>214</v>
      </c>
      <c r="E11" s="12"/>
    </row>
    <row r="12" spans="1:5" ht="22.8" x14ac:dyDescent="0.3">
      <c r="A12" s="8" t="s">
        <v>215</v>
      </c>
      <c r="B12" s="27">
        <f>$B$8*'Rule tables'!$B$34</f>
        <v>9342</v>
      </c>
      <c r="C12" s="10" t="s">
        <v>162</v>
      </c>
      <c r="D12" s="11" t="s">
        <v>216</v>
      </c>
      <c r="E12" s="12" t="s">
        <v>217</v>
      </c>
    </row>
    <row r="13" spans="1:5" x14ac:dyDescent="0.3">
      <c r="A13" s="8" t="s">
        <v>218</v>
      </c>
      <c r="B13" s="23">
        <f>$B$12/$B$10</f>
        <v>3000</v>
      </c>
      <c r="C13" s="10" t="s">
        <v>162</v>
      </c>
      <c r="D13" s="11" t="s">
        <v>219</v>
      </c>
      <c r="E13" s="12"/>
    </row>
    <row r="14" spans="1:5" x14ac:dyDescent="0.3">
      <c r="A14" s="8" t="s">
        <v>220</v>
      </c>
      <c r="B14" s="23">
        <f>$B$13*(1-$B$11)</f>
        <v>3000</v>
      </c>
      <c r="C14" s="10" t="s">
        <v>162</v>
      </c>
      <c r="D14" s="11"/>
      <c r="E14" s="12"/>
    </row>
    <row r="15" spans="1:5" x14ac:dyDescent="0.3">
      <c r="A15" s="8" t="s">
        <v>221</v>
      </c>
      <c r="B15" s="23">
        <f>$B$13*$B$11</f>
        <v>0</v>
      </c>
      <c r="C15" s="10" t="s">
        <v>162</v>
      </c>
      <c r="D15" s="11"/>
      <c r="E15" s="12"/>
    </row>
    <row r="16" spans="1:5" x14ac:dyDescent="0.3">
      <c r="A16" s="8" t="s">
        <v>222</v>
      </c>
      <c r="B16" s="28">
        <f>$B$14*'Rule tables'!$B$49+$B$15*'Rule tables'!$B$51</f>
        <v>121500000</v>
      </c>
      <c r="C16" s="10" t="s">
        <v>107</v>
      </c>
      <c r="D16" s="11" t="s">
        <v>223</v>
      </c>
      <c r="E16" s="12" t="s">
        <v>224</v>
      </c>
    </row>
    <row r="17" spans="1:5" x14ac:dyDescent="0.3">
      <c r="A17" s="8" t="s">
        <v>225</v>
      </c>
      <c r="B17" s="28">
        <f>$B$14*'Rule tables'!$B$49*'Rule tables'!$B$50+$B$15*'Rule tables'!$B$51*'Rule tables'!$B$52</f>
        <v>11146410000</v>
      </c>
      <c r="C17" s="10" t="s">
        <v>226</v>
      </c>
      <c r="D17" s="11" t="s">
        <v>227</v>
      </c>
      <c r="E17" s="12" t="s">
        <v>224</v>
      </c>
    </row>
    <row r="18" spans="1:5" x14ac:dyDescent="0.3">
      <c r="A18" s="24" t="s">
        <v>228</v>
      </c>
      <c r="B18" s="29">
        <f>$B$17/$B$16</f>
        <v>91.74</v>
      </c>
      <c r="C18" s="10" t="s">
        <v>85</v>
      </c>
      <c r="D18" s="11" t="s">
        <v>229</v>
      </c>
      <c r="E18" s="12"/>
    </row>
    <row r="19" spans="1:5" x14ac:dyDescent="0.3">
      <c r="A19" s="8" t="s">
        <v>230</v>
      </c>
      <c r="B19" s="22">
        <f>INDEX('Rule tables'!$B$42:$B$48,MATCH($B$7,'Rule tables'!$A$42:$A$48,0))</f>
        <v>0.02</v>
      </c>
      <c r="C19" s="10"/>
      <c r="D19" s="11"/>
      <c r="E19" s="12"/>
    </row>
    <row r="20" spans="1:5" x14ac:dyDescent="0.3">
      <c r="A20" s="8" t="s">
        <v>231</v>
      </c>
      <c r="B20" s="21">
        <f>'Rule tables'!$B$41*(1-$B$19)</f>
        <v>89.336799999999997</v>
      </c>
      <c r="C20" s="10" t="s">
        <v>85</v>
      </c>
      <c r="D20" s="11" t="s">
        <v>232</v>
      </c>
      <c r="E20" s="12"/>
    </row>
    <row r="21" spans="1:5" x14ac:dyDescent="0.3">
      <c r="A21" s="8" t="s">
        <v>233</v>
      </c>
      <c r="B21" s="30">
        <f>($B$20-$B$18)*$B$16</f>
        <v>-291988799.99999976</v>
      </c>
      <c r="C21" s="10" t="s">
        <v>226</v>
      </c>
      <c r="D21" s="11" t="s">
        <v>234</v>
      </c>
      <c r="E21" s="12" t="s">
        <v>235</v>
      </c>
    </row>
    <row r="22" spans="1:5" x14ac:dyDescent="0.3">
      <c r="A22" s="24" t="s">
        <v>233</v>
      </c>
      <c r="B22" s="31">
        <f>$B$21/1000000</f>
        <v>-291.98879999999974</v>
      </c>
      <c r="C22" s="10" t="s">
        <v>197</v>
      </c>
      <c r="D22" s="11"/>
      <c r="E22" s="12"/>
    </row>
    <row r="23" spans="1:5" x14ac:dyDescent="0.3">
      <c r="A23" s="8" t="s">
        <v>236</v>
      </c>
      <c r="B23" s="32">
        <f>1000000/($B$18*'Rule tables'!$B$54)*'Rule tables'!$B$53</f>
        <v>638.07047488395096</v>
      </c>
      <c r="C23" s="10" t="s">
        <v>36</v>
      </c>
      <c r="D23" s="11" t="s">
        <v>237</v>
      </c>
      <c r="E23" s="12"/>
    </row>
    <row r="24" spans="1:5" x14ac:dyDescent="0.3">
      <c r="A24" s="8" t="s">
        <v>238</v>
      </c>
      <c r="B24" s="33">
        <f>1+(Assumptions!$B$11-1)/10</f>
        <v>1</v>
      </c>
      <c r="C24" s="10" t="s">
        <v>239</v>
      </c>
      <c r="D24" s="11" t="s">
        <v>240</v>
      </c>
      <c r="E24" s="12" t="s">
        <v>241</v>
      </c>
    </row>
    <row r="25" spans="1:5" x14ac:dyDescent="0.3">
      <c r="A25" s="24" t="s">
        <v>242</v>
      </c>
      <c r="B25" s="34">
        <f>IF($B$21&lt;0,ABS($B$21)/($B$18*'Rule tables'!$B$54)*'Rule tables'!$B$53*$B$24,0)</f>
        <v>186309.4322767948</v>
      </c>
      <c r="C25" s="10" t="s">
        <v>187</v>
      </c>
      <c r="D25" s="11" t="s">
        <v>243</v>
      </c>
      <c r="E25" s="12" t="s">
        <v>244</v>
      </c>
    </row>
    <row r="26" spans="1:5" x14ac:dyDescent="0.3">
      <c r="A26" s="24" t="s">
        <v>245</v>
      </c>
      <c r="B26" s="34">
        <f>IF($B$22&lt;0,ABS($B$22)*Assumptions!$B$10,0)</f>
        <v>32118.767999999971</v>
      </c>
      <c r="C26" s="10" t="s">
        <v>187</v>
      </c>
      <c r="D26" s="11" t="s">
        <v>246</v>
      </c>
      <c r="E26" s="12" t="s">
        <v>247</v>
      </c>
    </row>
    <row r="27" spans="1:5" x14ac:dyDescent="0.3">
      <c r="A27" s="8" t="s">
        <v>248</v>
      </c>
      <c r="B27" s="35">
        <f>$B$25-$B$26</f>
        <v>154190.66427679482</v>
      </c>
      <c r="C27" s="10" t="s">
        <v>187</v>
      </c>
      <c r="D27" s="11"/>
      <c r="E27" s="12"/>
    </row>
    <row r="29" spans="1:5" x14ac:dyDescent="0.3">
      <c r="A29" s="5" t="s">
        <v>249</v>
      </c>
      <c r="B29" s="6"/>
      <c r="C29" s="6"/>
      <c r="D29" s="6"/>
      <c r="E29" s="6"/>
    </row>
    <row r="30" spans="1:5" x14ac:dyDescent="0.3">
      <c r="A30" s="7" t="s">
        <v>18</v>
      </c>
      <c r="B30" s="7" t="s">
        <v>19</v>
      </c>
      <c r="C30" s="7" t="s">
        <v>20</v>
      </c>
      <c r="D30" s="7" t="s">
        <v>21</v>
      </c>
      <c r="E30" s="7" t="s">
        <v>22</v>
      </c>
    </row>
    <row r="31" spans="1:5" x14ac:dyDescent="0.3">
      <c r="A31" s="8" t="s">
        <v>208</v>
      </c>
      <c r="B31" s="16">
        <v>2025</v>
      </c>
      <c r="C31" s="10"/>
      <c r="D31" s="11"/>
      <c r="E31" s="12"/>
    </row>
    <row r="32" spans="1:5" x14ac:dyDescent="0.3">
      <c r="A32" s="8" t="s">
        <v>209</v>
      </c>
      <c r="B32" s="27">
        <f>'EU ETS'!$B$8+'EU ETS'!$B$9+'EU ETS'!$B$10+'EU ETS'!$B$11</f>
        <v>13829.152339999999</v>
      </c>
      <c r="C32" s="10" t="s">
        <v>162</v>
      </c>
      <c r="D32" s="11"/>
      <c r="E32" s="12" t="s">
        <v>163</v>
      </c>
    </row>
    <row r="33" spans="1:5" x14ac:dyDescent="0.3">
      <c r="A33" s="8" t="s">
        <v>210</v>
      </c>
      <c r="B33" s="18">
        <v>4426.558</v>
      </c>
      <c r="C33" s="10" t="s">
        <v>162</v>
      </c>
      <c r="D33" s="11"/>
      <c r="E33" s="12" t="s">
        <v>163</v>
      </c>
    </row>
    <row r="34" spans="1:5" x14ac:dyDescent="0.3">
      <c r="A34" s="8" t="s">
        <v>211</v>
      </c>
      <c r="B34" s="21">
        <f>$B$32/$B$33</f>
        <v>3.1241321902932251</v>
      </c>
      <c r="C34" s="10" t="s">
        <v>47</v>
      </c>
      <c r="D34" s="11" t="s">
        <v>212</v>
      </c>
      <c r="E34" s="12"/>
    </row>
    <row r="35" spans="1:5" x14ac:dyDescent="0.3">
      <c r="A35" s="8" t="s">
        <v>213</v>
      </c>
      <c r="B35" s="22">
        <f>MAX(0,MIN(1,($B$34-'Rule tables'!$B$7)/('Rule tables'!$B$9-'Rule tables'!$B$7)))</f>
        <v>0.11013250318723042</v>
      </c>
      <c r="C35" s="10"/>
      <c r="D35" s="11" t="s">
        <v>214</v>
      </c>
      <c r="E35" s="12"/>
    </row>
    <row r="36" spans="1:5" ht="22.8" x14ac:dyDescent="0.3">
      <c r="A36" s="8" t="s">
        <v>215</v>
      </c>
      <c r="B36" s="27">
        <f>'EU ETS'!$B$8*'Rule tables'!$B$34+('EU ETS'!$B$9+'EU ETS'!$B$10)*'Rule tables'!$B$35+'EU ETS'!$B$11*'Rule tables'!$B$36</f>
        <v>7408.9691399999992</v>
      </c>
      <c r="C36" s="10" t="s">
        <v>162</v>
      </c>
      <c r="D36" s="11" t="s">
        <v>250</v>
      </c>
      <c r="E36" s="12" t="s">
        <v>217</v>
      </c>
    </row>
    <row r="37" spans="1:5" x14ac:dyDescent="0.3">
      <c r="A37" s="8" t="s">
        <v>218</v>
      </c>
      <c r="B37" s="23">
        <f>$B$36/$B$34</f>
        <v>2371.528696199186</v>
      </c>
      <c r="C37" s="10" t="s">
        <v>162</v>
      </c>
      <c r="D37" s="11" t="s">
        <v>219</v>
      </c>
      <c r="E37" s="12"/>
    </row>
    <row r="38" spans="1:5" x14ac:dyDescent="0.3">
      <c r="A38" s="8" t="s">
        <v>220</v>
      </c>
      <c r="B38" s="23">
        <f>$B$37*(1-$B$35)</f>
        <v>2110.3463045064209</v>
      </c>
      <c r="C38" s="10" t="s">
        <v>162</v>
      </c>
      <c r="D38" s="11"/>
      <c r="E38" s="12"/>
    </row>
    <row r="39" spans="1:5" x14ac:dyDescent="0.3">
      <c r="A39" s="8" t="s">
        <v>221</v>
      </c>
      <c r="B39" s="23">
        <f>$B$37*$B$35</f>
        <v>261.18239169276524</v>
      </c>
      <c r="C39" s="10" t="s">
        <v>162</v>
      </c>
      <c r="D39" s="11"/>
      <c r="E39" s="12"/>
    </row>
    <row r="40" spans="1:5" x14ac:dyDescent="0.3">
      <c r="A40" s="8" t="s">
        <v>222</v>
      </c>
      <c r="B40" s="28">
        <f>$B$38*'Rule tables'!$B$49+$B$39*'Rule tables'!$B$51</f>
        <v>96621513.45779112</v>
      </c>
      <c r="C40" s="10" t="s">
        <v>107</v>
      </c>
      <c r="D40" s="11" t="s">
        <v>223</v>
      </c>
      <c r="E40" s="12" t="s">
        <v>224</v>
      </c>
    </row>
    <row r="41" spans="1:5" x14ac:dyDescent="0.3">
      <c r="A41" s="8" t="s">
        <v>225</v>
      </c>
      <c r="B41" s="28">
        <f>$B$38*'Rule tables'!$B$49*'Rule tables'!$B$50+$B$39*'Rule tables'!$B$51*'Rule tables'!$B$52</f>
        <v>8853239731.1362343</v>
      </c>
      <c r="C41" s="10" t="s">
        <v>226</v>
      </c>
      <c r="D41" s="11" t="s">
        <v>227</v>
      </c>
      <c r="E41" s="12" t="s">
        <v>224</v>
      </c>
    </row>
    <row r="42" spans="1:5" x14ac:dyDescent="0.3">
      <c r="A42" s="24" t="s">
        <v>228</v>
      </c>
      <c r="B42" s="29">
        <f>$B$41/$B$40</f>
        <v>91.628038252617017</v>
      </c>
      <c r="C42" s="10" t="s">
        <v>85</v>
      </c>
      <c r="D42" s="11" t="s">
        <v>229</v>
      </c>
      <c r="E42" s="12"/>
    </row>
    <row r="43" spans="1:5" x14ac:dyDescent="0.3">
      <c r="A43" s="8" t="s">
        <v>230</v>
      </c>
      <c r="B43" s="22">
        <f>INDEX('Rule tables'!$B$42:$B$48,MATCH($B$31,'Rule tables'!$A$42:$A$48,0))</f>
        <v>0.02</v>
      </c>
      <c r="C43" s="10"/>
      <c r="D43" s="11"/>
      <c r="E43" s="12"/>
    </row>
    <row r="44" spans="1:5" x14ac:dyDescent="0.3">
      <c r="A44" s="8" t="s">
        <v>231</v>
      </c>
      <c r="B44" s="21">
        <f>'Rule tables'!$B$41*(1-$B$43)</f>
        <v>89.336799999999997</v>
      </c>
      <c r="C44" s="10" t="s">
        <v>85</v>
      </c>
      <c r="D44" s="11" t="s">
        <v>232</v>
      </c>
      <c r="E44" s="12"/>
    </row>
    <row r="45" spans="1:5" x14ac:dyDescent="0.3">
      <c r="A45" s="8" t="s">
        <v>233</v>
      </c>
      <c r="B45" s="30">
        <f>($B$44-$B$42)*$B$40</f>
        <v>-221382907.66024125</v>
      </c>
      <c r="C45" s="10" t="s">
        <v>226</v>
      </c>
      <c r="D45" s="11" t="s">
        <v>234</v>
      </c>
      <c r="E45" s="12" t="s">
        <v>235</v>
      </c>
    </row>
    <row r="46" spans="1:5" x14ac:dyDescent="0.3">
      <c r="A46" s="24" t="s">
        <v>233</v>
      </c>
      <c r="B46" s="31">
        <f>$B$45/1000000</f>
        <v>-221.38290766024124</v>
      </c>
      <c r="C46" s="10" t="s">
        <v>197</v>
      </c>
      <c r="D46" s="11"/>
      <c r="E46" s="12"/>
    </row>
    <row r="47" spans="1:5" x14ac:dyDescent="0.3">
      <c r="A47" s="8" t="s">
        <v>236</v>
      </c>
      <c r="B47" s="32">
        <f>1000000/($B$42*'Rule tables'!$B$54)*'Rule tables'!$B$53</f>
        <v>638.85014327676902</v>
      </c>
      <c r="C47" s="10" t="s">
        <v>36</v>
      </c>
      <c r="D47" s="11" t="s">
        <v>237</v>
      </c>
      <c r="E47" s="12"/>
    </row>
    <row r="48" spans="1:5" x14ac:dyDescent="0.3">
      <c r="A48" s="8" t="s">
        <v>238</v>
      </c>
      <c r="B48" s="33">
        <f>1+(Assumptions!$B$11-1)/10</f>
        <v>1</v>
      </c>
      <c r="C48" s="10" t="s">
        <v>239</v>
      </c>
      <c r="D48" s="11" t="s">
        <v>240</v>
      </c>
      <c r="E48" s="12" t="s">
        <v>241</v>
      </c>
    </row>
    <row r="49" spans="1:5" x14ac:dyDescent="0.3">
      <c r="A49" s="24" t="s">
        <v>242</v>
      </c>
      <c r="B49" s="34">
        <f>IF($B$45&lt;0,ABS($B$45)/($B$42*'Rule tables'!$B$54)*'Rule tables'!$B$53*$B$48,0)</f>
        <v>141430.50227777287</v>
      </c>
      <c r="C49" s="10" t="s">
        <v>187</v>
      </c>
      <c r="D49" s="11" t="s">
        <v>243</v>
      </c>
      <c r="E49" s="12" t="s">
        <v>244</v>
      </c>
    </row>
    <row r="50" spans="1:5" x14ac:dyDescent="0.3">
      <c r="A50" s="24" t="s">
        <v>245</v>
      </c>
      <c r="B50" s="34">
        <f>IF($B$46&lt;0,ABS($B$46)*Assumptions!$B$10,0)</f>
        <v>24352.119842626536</v>
      </c>
      <c r="C50" s="10" t="s">
        <v>187</v>
      </c>
      <c r="D50" s="11" t="s">
        <v>246</v>
      </c>
      <c r="E50" s="12" t="s">
        <v>247</v>
      </c>
    </row>
    <row r="51" spans="1:5" x14ac:dyDescent="0.3">
      <c r="A51" s="8" t="s">
        <v>248</v>
      </c>
      <c r="B51" s="35">
        <f>$B$49-$B$50</f>
        <v>117078.38243514634</v>
      </c>
      <c r="C51" s="10" t="s">
        <v>187</v>
      </c>
      <c r="D51" s="11"/>
      <c r="E51" s="12"/>
    </row>
    <row r="52" spans="1:5" ht="45" customHeight="1" x14ac:dyDescent="0.3">
      <c r="A52" s="57" t="s">
        <v>251</v>
      </c>
      <c r="B52" s="56"/>
      <c r="C52" s="56"/>
      <c r="D52" s="56"/>
      <c r="E52" s="56"/>
    </row>
  </sheetData>
  <mergeCells count="2">
    <mergeCell ref="A2:E2"/>
    <mergeCell ref="A52:E5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9"/>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252</v>
      </c>
    </row>
    <row r="2" spans="1:5" ht="30" customHeight="1" x14ac:dyDescent="0.3">
      <c r="A2" s="55" t="s">
        <v>253</v>
      </c>
      <c r="B2" s="56"/>
      <c r="C2" s="56"/>
      <c r="D2" s="56"/>
      <c r="E2" s="56"/>
    </row>
    <row r="5" spans="1:5" x14ac:dyDescent="0.3">
      <c r="A5" s="5" t="s">
        <v>254</v>
      </c>
      <c r="B5" s="6"/>
      <c r="C5" s="6"/>
      <c r="D5" s="6"/>
      <c r="E5" s="6"/>
    </row>
    <row r="6" spans="1:5" x14ac:dyDescent="0.3">
      <c r="A6" s="7" t="s">
        <v>18</v>
      </c>
      <c r="B6" s="7" t="s">
        <v>19</v>
      </c>
      <c r="C6" s="7" t="s">
        <v>20</v>
      </c>
      <c r="D6" s="7" t="s">
        <v>21</v>
      </c>
      <c r="E6" s="7" t="s">
        <v>22</v>
      </c>
    </row>
    <row r="7" spans="1:5" x14ac:dyDescent="0.3">
      <c r="A7" s="8" t="s">
        <v>255</v>
      </c>
      <c r="B7" s="18">
        <v>742.90394000000003</v>
      </c>
      <c r="C7" s="10" t="s">
        <v>162</v>
      </c>
      <c r="D7" s="11"/>
      <c r="E7" s="12" t="s">
        <v>163</v>
      </c>
    </row>
    <row r="8" spans="1:5" x14ac:dyDescent="0.3">
      <c r="A8" s="8" t="s">
        <v>256</v>
      </c>
      <c r="B8" s="18">
        <v>231.72300000000001</v>
      </c>
      <c r="C8" s="10" t="s">
        <v>162</v>
      </c>
      <c r="D8" s="11"/>
      <c r="E8" s="12" t="s">
        <v>62</v>
      </c>
    </row>
    <row r="9" spans="1:5" x14ac:dyDescent="0.3">
      <c r="A9" s="8" t="s">
        <v>161</v>
      </c>
      <c r="B9" s="18">
        <v>0</v>
      </c>
      <c r="C9" s="10" t="s">
        <v>162</v>
      </c>
      <c r="D9" s="11"/>
      <c r="E9" s="12" t="s">
        <v>62</v>
      </c>
    </row>
    <row r="10" spans="1:5" x14ac:dyDescent="0.3">
      <c r="A10" s="8" t="s">
        <v>164</v>
      </c>
      <c r="B10" s="18">
        <v>38.472000000000001</v>
      </c>
      <c r="C10" s="10" t="s">
        <v>162</v>
      </c>
      <c r="D10" s="11"/>
      <c r="E10" s="12" t="s">
        <v>62</v>
      </c>
    </row>
    <row r="11" spans="1:5" x14ac:dyDescent="0.3">
      <c r="A11" s="8" t="s">
        <v>165</v>
      </c>
      <c r="B11" s="18">
        <v>697.48132999999996</v>
      </c>
      <c r="C11" s="10" t="s">
        <v>162</v>
      </c>
      <c r="D11" s="11"/>
      <c r="E11" s="12" t="s">
        <v>62</v>
      </c>
    </row>
    <row r="12" spans="1:5" x14ac:dyDescent="0.3">
      <c r="A12" s="8" t="s">
        <v>166</v>
      </c>
      <c r="B12" s="18">
        <v>6.9506100000000002</v>
      </c>
      <c r="C12" s="10" t="s">
        <v>162</v>
      </c>
      <c r="D12" s="11"/>
      <c r="E12" s="12" t="s">
        <v>62</v>
      </c>
    </row>
    <row r="13" spans="1:5" x14ac:dyDescent="0.3">
      <c r="A13" s="8" t="s">
        <v>257</v>
      </c>
      <c r="B13" s="18">
        <v>374.92728</v>
      </c>
      <c r="C13" s="10" t="s">
        <v>162</v>
      </c>
      <c r="D13" s="11"/>
      <c r="E13" s="12" t="s">
        <v>62</v>
      </c>
    </row>
    <row r="14" spans="1:5" x14ac:dyDescent="0.3">
      <c r="A14" s="8" t="s">
        <v>258</v>
      </c>
      <c r="B14" s="14">
        <v>1906.788686122019</v>
      </c>
      <c r="C14" s="10" t="s">
        <v>259</v>
      </c>
      <c r="D14" s="11" t="s">
        <v>260</v>
      </c>
      <c r="E14" s="12" t="s">
        <v>62</v>
      </c>
    </row>
    <row r="16" spans="1:5" x14ac:dyDescent="0.3">
      <c r="A16" s="5" t="s">
        <v>261</v>
      </c>
      <c r="B16" s="6"/>
      <c r="C16" s="6"/>
      <c r="D16" s="6"/>
      <c r="E16" s="6"/>
    </row>
    <row r="17" spans="1:5" x14ac:dyDescent="0.3">
      <c r="A17" s="7" t="s">
        <v>18</v>
      </c>
      <c r="B17" s="7" t="s">
        <v>19</v>
      </c>
      <c r="C17" s="7" t="s">
        <v>20</v>
      </c>
      <c r="D17" s="7" t="s">
        <v>21</v>
      </c>
      <c r="E17" s="7" t="s">
        <v>22</v>
      </c>
    </row>
    <row r="18" spans="1:5" x14ac:dyDescent="0.3">
      <c r="A18" s="8" t="s">
        <v>211</v>
      </c>
      <c r="B18" s="21">
        <f>$B$7/$B$8</f>
        <v>3.2060000086309945</v>
      </c>
      <c r="C18" s="10" t="s">
        <v>47</v>
      </c>
      <c r="D18" s="11" t="s">
        <v>262</v>
      </c>
      <c r="E18" s="12"/>
    </row>
    <row r="19" spans="1:5" x14ac:dyDescent="0.3">
      <c r="A19" s="24" t="s">
        <v>263</v>
      </c>
      <c r="B19" s="36">
        <f>MAX(0,MIN(1,($B$18-'Rule tables'!$B$7)/('Rule tables'!$B$9-'Rule tables'!$B$7)))</f>
        <v>1</v>
      </c>
      <c r="C19" s="10"/>
      <c r="D19" s="11" t="s">
        <v>264</v>
      </c>
      <c r="E19" s="12"/>
    </row>
    <row r="21" spans="1:5" x14ac:dyDescent="0.3">
      <c r="A21" s="5" t="s">
        <v>265</v>
      </c>
      <c r="B21" s="6"/>
      <c r="C21" s="6"/>
      <c r="D21" s="6"/>
      <c r="E21" s="6"/>
    </row>
    <row r="22" spans="1:5" x14ac:dyDescent="0.3">
      <c r="A22" s="7" t="s">
        <v>18</v>
      </c>
      <c r="B22" s="7" t="s">
        <v>19</v>
      </c>
      <c r="C22" s="7" t="s">
        <v>20</v>
      </c>
      <c r="D22" s="7" t="s">
        <v>21</v>
      </c>
      <c r="E22" s="7" t="s">
        <v>22</v>
      </c>
    </row>
    <row r="23" spans="1:5" x14ac:dyDescent="0.3">
      <c r="A23" s="8" t="s">
        <v>266</v>
      </c>
      <c r="B23" s="27">
        <f>$B$9*'Rule tables'!$B$34</f>
        <v>0</v>
      </c>
      <c r="C23" s="10" t="s">
        <v>267</v>
      </c>
      <c r="D23" s="11"/>
      <c r="E23" s="12" t="s">
        <v>268</v>
      </c>
    </row>
    <row r="24" spans="1:5" x14ac:dyDescent="0.3">
      <c r="A24" s="8" t="s">
        <v>269</v>
      </c>
      <c r="B24" s="27">
        <f>($B$10+$B$11)*'Rule tables'!$B$35</f>
        <v>367.97666499999997</v>
      </c>
      <c r="C24" s="10" t="s">
        <v>267</v>
      </c>
      <c r="D24" s="11" t="s">
        <v>270</v>
      </c>
      <c r="E24" s="12"/>
    </row>
    <row r="25" spans="1:5" x14ac:dyDescent="0.3">
      <c r="A25" s="8" t="s">
        <v>271</v>
      </c>
      <c r="B25" s="27">
        <f>$B$12*'Rule tables'!$B$36</f>
        <v>6.9506100000000002</v>
      </c>
      <c r="C25" s="10" t="s">
        <v>267</v>
      </c>
      <c r="D25" s="11"/>
      <c r="E25" s="12"/>
    </row>
    <row r="26" spans="1:5" x14ac:dyDescent="0.3">
      <c r="A26" s="24" t="s">
        <v>272</v>
      </c>
      <c r="B26" s="31">
        <f>$B$23+$B$24+$B$25</f>
        <v>374.92727499999995</v>
      </c>
      <c r="C26" s="10" t="s">
        <v>267</v>
      </c>
      <c r="D26" s="11" t="s">
        <v>273</v>
      </c>
      <c r="E26" s="12"/>
    </row>
    <row r="28" spans="1:5" x14ac:dyDescent="0.3">
      <c r="A28" s="5" t="s">
        <v>274</v>
      </c>
      <c r="B28" s="6"/>
      <c r="C28" s="6"/>
      <c r="D28" s="6"/>
      <c r="E28" s="6"/>
    </row>
    <row r="29" spans="1:5" x14ac:dyDescent="0.3">
      <c r="A29" s="7" t="s">
        <v>18</v>
      </c>
      <c r="B29" s="7" t="s">
        <v>19</v>
      </c>
      <c r="C29" s="7" t="s">
        <v>20</v>
      </c>
      <c r="D29" s="7" t="s">
        <v>21</v>
      </c>
      <c r="E29" s="7" t="s">
        <v>22</v>
      </c>
    </row>
    <row r="30" spans="1:5" x14ac:dyDescent="0.3">
      <c r="A30" s="8" t="s">
        <v>275</v>
      </c>
      <c r="B30" s="37">
        <f>$B$26/$B$18</f>
        <v>116.94550030899687</v>
      </c>
      <c r="C30" s="10" t="s">
        <v>162</v>
      </c>
      <c r="D30" s="11" t="s">
        <v>276</v>
      </c>
      <c r="E30" s="12"/>
    </row>
    <row r="31" spans="1:5" x14ac:dyDescent="0.3">
      <c r="A31" s="8" t="s">
        <v>277</v>
      </c>
      <c r="B31" s="28">
        <f>$B$30*'Rule tables'!$B$51</f>
        <v>4993572.8631941667</v>
      </c>
      <c r="C31" s="10" t="s">
        <v>107</v>
      </c>
      <c r="D31" s="11" t="s">
        <v>278</v>
      </c>
      <c r="E31" s="12" t="s">
        <v>224</v>
      </c>
    </row>
    <row r="32" spans="1:5" x14ac:dyDescent="0.3">
      <c r="A32" s="24" t="s">
        <v>228</v>
      </c>
      <c r="B32" s="38">
        <f>'Rule tables'!$B$52</f>
        <v>90.77</v>
      </c>
      <c r="C32" s="10" t="s">
        <v>85</v>
      </c>
      <c r="D32" s="11" t="s">
        <v>279</v>
      </c>
      <c r="E32" s="12" t="s">
        <v>224</v>
      </c>
    </row>
    <row r="33" spans="1:5" x14ac:dyDescent="0.3">
      <c r="A33" s="8" t="s">
        <v>280</v>
      </c>
      <c r="B33" s="21">
        <f>'Rule tables'!$B$41*(1-'Rule tables'!$B$42)</f>
        <v>89.336799999999997</v>
      </c>
      <c r="C33" s="10" t="s">
        <v>85</v>
      </c>
      <c r="D33" s="11" t="s">
        <v>281</v>
      </c>
      <c r="E33" s="12" t="s">
        <v>282</v>
      </c>
    </row>
    <row r="34" spans="1:5" x14ac:dyDescent="0.3">
      <c r="A34" s="8" t="s">
        <v>283</v>
      </c>
      <c r="B34" s="21">
        <f>$B$32-$B$33</f>
        <v>1.4331999999999994</v>
      </c>
      <c r="C34" s="10" t="s">
        <v>85</v>
      </c>
      <c r="D34" s="11"/>
      <c r="E34" s="12"/>
    </row>
    <row r="36" spans="1:5" x14ac:dyDescent="0.3">
      <c r="A36" s="5" t="s">
        <v>284</v>
      </c>
      <c r="B36" s="6"/>
      <c r="C36" s="6"/>
      <c r="D36" s="6"/>
      <c r="E36" s="6"/>
    </row>
    <row r="37" spans="1:5" x14ac:dyDescent="0.3">
      <c r="A37" s="7" t="s">
        <v>18</v>
      </c>
      <c r="B37" s="7" t="s">
        <v>19</v>
      </c>
      <c r="C37" s="7" t="s">
        <v>20</v>
      </c>
      <c r="D37" s="7" t="s">
        <v>21</v>
      </c>
      <c r="E37" s="7" t="s">
        <v>22</v>
      </c>
    </row>
    <row r="38" spans="1:5" x14ac:dyDescent="0.3">
      <c r="A38" s="24" t="s">
        <v>285</v>
      </c>
      <c r="B38" s="31">
        <f>-($B$34)*$B$31/1000000</f>
        <v>-7.1567886275298767</v>
      </c>
      <c r="C38" s="10" t="s">
        <v>197</v>
      </c>
      <c r="D38" s="11" t="s">
        <v>286</v>
      </c>
      <c r="E38" s="12" t="s">
        <v>235</v>
      </c>
    </row>
    <row r="39" spans="1:5" x14ac:dyDescent="0.3">
      <c r="A39" s="8" t="s">
        <v>287</v>
      </c>
      <c r="B39" s="32">
        <f>1000000/($B$32*'Rule tables'!$B$54)*'Rule tables'!$B$53</f>
        <v>644.8891193770371</v>
      </c>
      <c r="C39" s="10" t="s">
        <v>36</v>
      </c>
      <c r="D39" s="11"/>
      <c r="E39" s="12" t="s">
        <v>244</v>
      </c>
    </row>
    <row r="40" spans="1:5" x14ac:dyDescent="0.3">
      <c r="A40" s="24" t="s">
        <v>242</v>
      </c>
      <c r="B40" s="34">
        <f>IF($B$38&lt;0,ABS($B$38)*$B$39*(1+(Assumptions!$B$11-1)/10),0)</f>
        <v>4615.3351155753362</v>
      </c>
      <c r="C40" s="10" t="s">
        <v>187</v>
      </c>
      <c r="D40" s="11"/>
      <c r="E40" s="12"/>
    </row>
    <row r="41" spans="1:5" x14ac:dyDescent="0.3">
      <c r="A41" s="24" t="s">
        <v>288</v>
      </c>
      <c r="B41" s="34">
        <f>IF($B$38&lt;0,ABS($B$38)*Assumptions!$B$10,0)</f>
        <v>787.24674902828644</v>
      </c>
      <c r="C41" s="10" t="s">
        <v>187</v>
      </c>
      <c r="D41" s="11" t="s">
        <v>289</v>
      </c>
      <c r="E41" s="12"/>
    </row>
    <row r="43" spans="1:5" x14ac:dyDescent="0.3">
      <c r="A43" s="5" t="s">
        <v>290</v>
      </c>
      <c r="B43" s="6"/>
      <c r="C43" s="6"/>
      <c r="D43" s="6"/>
      <c r="E43" s="6"/>
    </row>
    <row r="44" spans="1:5" x14ac:dyDescent="0.3">
      <c r="A44" s="7" t="s">
        <v>18</v>
      </c>
      <c r="B44" s="7" t="s">
        <v>19</v>
      </c>
      <c r="C44" s="7" t="s">
        <v>20</v>
      </c>
      <c r="D44" s="7" t="s">
        <v>21</v>
      </c>
      <c r="E44" s="7" t="s">
        <v>22</v>
      </c>
    </row>
    <row r="45" spans="1:5" x14ac:dyDescent="0.3">
      <c r="A45" s="8" t="s">
        <v>291</v>
      </c>
      <c r="B45" s="21">
        <f>$B$13/$B$26</f>
        <v>1.0000000133359197</v>
      </c>
      <c r="C45" s="10"/>
      <c r="D45" s="11" t="s">
        <v>292</v>
      </c>
      <c r="E45" s="12"/>
    </row>
    <row r="46" spans="1:5" x14ac:dyDescent="0.3">
      <c r="A46" s="8" t="s">
        <v>293</v>
      </c>
      <c r="B46" s="27">
        <f>$B$13*'Rule tables'!$B$25</f>
        <v>262.449096</v>
      </c>
      <c r="C46" s="10" t="s">
        <v>184</v>
      </c>
      <c r="D46" s="11"/>
      <c r="E46" s="12" t="s">
        <v>294</v>
      </c>
    </row>
    <row r="47" spans="1:5" x14ac:dyDescent="0.3">
      <c r="A47" s="24" t="s">
        <v>186</v>
      </c>
      <c r="B47" s="25">
        <f>$B$46*Assumptions!$B$7</f>
        <v>22308.173159999998</v>
      </c>
      <c r="C47" s="10" t="s">
        <v>187</v>
      </c>
      <c r="D47" s="11"/>
      <c r="E47" s="12"/>
    </row>
    <row r="48" spans="1:5" x14ac:dyDescent="0.3">
      <c r="A48" s="24" t="s">
        <v>295</v>
      </c>
      <c r="B48" s="34">
        <f>$B$47+$B$40</f>
        <v>26923.508275575336</v>
      </c>
      <c r="C48" s="10" t="s">
        <v>187</v>
      </c>
      <c r="D48" s="11"/>
      <c r="E48" s="12"/>
    </row>
    <row r="49" spans="1:5" ht="45" customHeight="1" x14ac:dyDescent="0.3">
      <c r="A49" s="57" t="s">
        <v>296</v>
      </c>
      <c r="B49" s="56"/>
      <c r="C49" s="56"/>
      <c r="D49" s="56"/>
      <c r="E49" s="56"/>
    </row>
  </sheetData>
  <mergeCells count="2">
    <mergeCell ref="A2:E2"/>
    <mergeCell ref="A49:E4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9"/>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297</v>
      </c>
    </row>
    <row r="2" spans="1:5" ht="30" customHeight="1" x14ac:dyDescent="0.3">
      <c r="A2" s="55" t="s">
        <v>298</v>
      </c>
      <c r="B2" s="56"/>
      <c r="C2" s="56"/>
      <c r="D2" s="56"/>
      <c r="E2" s="56"/>
    </row>
    <row r="5" spans="1:5" x14ac:dyDescent="0.3">
      <c r="A5" s="5" t="s">
        <v>299</v>
      </c>
      <c r="B5" s="6"/>
      <c r="C5" s="6"/>
      <c r="D5" s="6"/>
      <c r="E5" s="6"/>
    </row>
    <row r="6" spans="1:5" x14ac:dyDescent="0.3">
      <c r="A6" s="7" t="s">
        <v>18</v>
      </c>
      <c r="B6" s="7" t="s">
        <v>19</v>
      </c>
      <c r="C6" s="7" t="s">
        <v>20</v>
      </c>
      <c r="D6" s="7" t="s">
        <v>21</v>
      </c>
      <c r="E6" s="7" t="s">
        <v>22</v>
      </c>
    </row>
    <row r="7" spans="1:5" x14ac:dyDescent="0.3">
      <c r="A7" s="8" t="s">
        <v>208</v>
      </c>
      <c r="B7" s="16">
        <v>2026</v>
      </c>
      <c r="C7" s="10"/>
      <c r="D7" s="11"/>
      <c r="E7" s="12"/>
    </row>
    <row r="8" spans="1:5" x14ac:dyDescent="0.3">
      <c r="A8" s="8" t="s">
        <v>300</v>
      </c>
      <c r="B8" s="23">
        <f>'Rule tables'!$B$7*3000</f>
        <v>9342</v>
      </c>
      <c r="C8" s="10" t="s">
        <v>162</v>
      </c>
      <c r="D8" s="11" t="s">
        <v>301</v>
      </c>
      <c r="E8" s="12"/>
    </row>
    <row r="9" spans="1:5" x14ac:dyDescent="0.3">
      <c r="A9" s="8" t="s">
        <v>302</v>
      </c>
      <c r="B9" s="14">
        <v>50000</v>
      </c>
      <c r="C9" s="10" t="s">
        <v>303</v>
      </c>
      <c r="D9" s="11" t="s">
        <v>304</v>
      </c>
      <c r="E9" s="12" t="s">
        <v>305</v>
      </c>
    </row>
    <row r="10" spans="1:5" x14ac:dyDescent="0.3">
      <c r="A10" s="8" t="s">
        <v>258</v>
      </c>
      <c r="B10" s="14">
        <v>50000</v>
      </c>
      <c r="C10" s="10" t="s">
        <v>259</v>
      </c>
      <c r="D10" s="11" t="s">
        <v>306</v>
      </c>
      <c r="E10" s="12"/>
    </row>
    <row r="11" spans="1:5" ht="26.4" x14ac:dyDescent="0.3">
      <c r="A11" s="24" t="s">
        <v>307</v>
      </c>
      <c r="B11" s="29">
        <f>$B$8*1000000/($B$9*$B$10)</f>
        <v>3.7368000000000001</v>
      </c>
      <c r="C11" s="10" t="s">
        <v>308</v>
      </c>
      <c r="D11" s="11" t="s">
        <v>309</v>
      </c>
      <c r="E11" s="12" t="s">
        <v>310</v>
      </c>
    </row>
    <row r="12" spans="1:5" ht="26.4" x14ac:dyDescent="0.3">
      <c r="A12" s="8" t="s">
        <v>311</v>
      </c>
      <c r="B12" s="33">
        <f>'Rule tables'!$B$58*$B$9^(-'Rule tables'!$B$59)</f>
        <v>5.6686138567372808</v>
      </c>
      <c r="C12" s="10" t="s">
        <v>308</v>
      </c>
      <c r="D12" s="11" t="s">
        <v>312</v>
      </c>
      <c r="E12" s="12" t="s">
        <v>313</v>
      </c>
    </row>
    <row r="13" spans="1:5" x14ac:dyDescent="0.3">
      <c r="A13" s="8" t="s">
        <v>314</v>
      </c>
      <c r="B13" s="22">
        <f>INDEX('Rule tables'!$B$70:$B$77,MATCH($B$7,'Rule tables'!$A$70:$A$77,0))</f>
        <v>0.11</v>
      </c>
      <c r="C13" s="10"/>
      <c r="D13" s="11"/>
      <c r="E13" s="12" t="s">
        <v>315</v>
      </c>
    </row>
    <row r="14" spans="1:5" ht="26.4" x14ac:dyDescent="0.3">
      <c r="A14" s="8" t="s">
        <v>316</v>
      </c>
      <c r="B14" s="33">
        <f>$B$12*(1-$B$13)</f>
        <v>5.0450663324961802</v>
      </c>
      <c r="C14" s="10" t="s">
        <v>308</v>
      </c>
      <c r="D14" s="11" t="s">
        <v>317</v>
      </c>
      <c r="E14" s="12"/>
    </row>
    <row r="15" spans="1:5" x14ac:dyDescent="0.3">
      <c r="A15" s="8" t="s">
        <v>318</v>
      </c>
      <c r="B15" s="33">
        <f>$B$11/$B$14</f>
        <v>0.74068401755802471</v>
      </c>
      <c r="C15" s="10"/>
      <c r="D15" s="11"/>
      <c r="E15" s="12"/>
    </row>
    <row r="16" spans="1:5" ht="26.4" x14ac:dyDescent="0.3">
      <c r="A16" s="8" t="s">
        <v>319</v>
      </c>
      <c r="B16" s="33">
        <f>'Rule tables'!$B$62*$B$14</f>
        <v>4.3387570459467151</v>
      </c>
      <c r="C16" s="10" t="s">
        <v>308</v>
      </c>
      <c r="D16" s="11" t="s">
        <v>320</v>
      </c>
      <c r="E16" s="12" t="s">
        <v>321</v>
      </c>
    </row>
    <row r="17" spans="1:5" ht="26.4" x14ac:dyDescent="0.3">
      <c r="A17" s="8" t="s">
        <v>322</v>
      </c>
      <c r="B17" s="33">
        <f>'Rule tables'!$B$63*$B$14</f>
        <v>4.7423623525464089</v>
      </c>
      <c r="C17" s="10" t="s">
        <v>308</v>
      </c>
      <c r="D17" s="11" t="s">
        <v>323</v>
      </c>
      <c r="E17" s="12" t="s">
        <v>321</v>
      </c>
    </row>
    <row r="18" spans="1:5" ht="26.4" x14ac:dyDescent="0.3">
      <c r="A18" s="8" t="s">
        <v>324</v>
      </c>
      <c r="B18" s="33">
        <f>'Rule tables'!$B$64*$B$14</f>
        <v>5.3477703124459515</v>
      </c>
      <c r="C18" s="10" t="s">
        <v>308</v>
      </c>
      <c r="D18" s="11" t="s">
        <v>325</v>
      </c>
      <c r="E18" s="12" t="s">
        <v>321</v>
      </c>
    </row>
    <row r="19" spans="1:5" ht="26.4" x14ac:dyDescent="0.3">
      <c r="A19" s="8" t="s">
        <v>326</v>
      </c>
      <c r="B19" s="33">
        <f>'Rule tables'!$B$65*$B$14</f>
        <v>5.9531782723454922</v>
      </c>
      <c r="C19" s="10" t="s">
        <v>308</v>
      </c>
      <c r="D19" s="11" t="s">
        <v>327</v>
      </c>
      <c r="E19" s="12" t="s">
        <v>321</v>
      </c>
    </row>
    <row r="20" spans="1:5" x14ac:dyDescent="0.3">
      <c r="A20" s="24" t="s">
        <v>328</v>
      </c>
      <c r="B20" s="39" t="str">
        <f>IF($B$15&lt;='Rule tables'!$B$62,"A",IF($B$15&lt;='Rule tables'!$B$63,"B",IF($B$15&lt;='Rule tables'!$B$64,"C",IF($B$15&lt;='Rule tables'!$B$65,"D","E"))))</f>
        <v>A</v>
      </c>
      <c r="C20" s="10"/>
      <c r="D20" s="11" t="s">
        <v>329</v>
      </c>
      <c r="E20" s="12"/>
    </row>
    <row r="22" spans="1:5" x14ac:dyDescent="0.3">
      <c r="A22" s="5" t="s">
        <v>330</v>
      </c>
      <c r="B22" s="6"/>
      <c r="C22" s="6"/>
      <c r="D22" s="6"/>
      <c r="E22" s="6"/>
    </row>
    <row r="23" spans="1:5" x14ac:dyDescent="0.3">
      <c r="A23" s="7" t="s">
        <v>18</v>
      </c>
      <c r="B23" s="7" t="s">
        <v>19</v>
      </c>
      <c r="C23" s="7" t="s">
        <v>20</v>
      </c>
      <c r="D23" s="7" t="s">
        <v>21</v>
      </c>
      <c r="E23" s="7" t="s">
        <v>22</v>
      </c>
    </row>
    <row r="24" spans="1:5" x14ac:dyDescent="0.3">
      <c r="A24" s="8" t="s">
        <v>208</v>
      </c>
      <c r="B24" s="16">
        <v>2025</v>
      </c>
      <c r="C24" s="10"/>
      <c r="D24" s="11"/>
      <c r="E24" s="12"/>
    </row>
    <row r="25" spans="1:5" x14ac:dyDescent="0.3">
      <c r="A25" s="8" t="s">
        <v>300</v>
      </c>
      <c r="B25" s="27">
        <f>'EU ETS'!$B$8+'EU ETS'!$B$9+'EU ETS'!$B$10+'EU ETS'!$B$11</f>
        <v>13829.152339999999</v>
      </c>
      <c r="C25" s="10" t="s">
        <v>162</v>
      </c>
      <c r="D25" s="11" t="s">
        <v>301</v>
      </c>
      <c r="E25" s="12"/>
    </row>
    <row r="26" spans="1:5" x14ac:dyDescent="0.3">
      <c r="A26" s="8" t="s">
        <v>302</v>
      </c>
      <c r="B26" s="14">
        <v>93000</v>
      </c>
      <c r="C26" s="10" t="s">
        <v>303</v>
      </c>
      <c r="D26" s="11" t="s">
        <v>304</v>
      </c>
      <c r="E26" s="12" t="s">
        <v>305</v>
      </c>
    </row>
    <row r="27" spans="1:5" x14ac:dyDescent="0.3">
      <c r="A27" s="8" t="s">
        <v>258</v>
      </c>
      <c r="B27" s="14">
        <v>32515.464813900449</v>
      </c>
      <c r="C27" s="10" t="s">
        <v>259</v>
      </c>
      <c r="D27" s="11" t="s">
        <v>306</v>
      </c>
      <c r="E27" s="12"/>
    </row>
    <row r="28" spans="1:5" ht="26.4" x14ac:dyDescent="0.3">
      <c r="A28" s="24" t="s">
        <v>307</v>
      </c>
      <c r="B28" s="29">
        <f>$B$25*1000000/($B$26*$B$27)</f>
        <v>4.573225806451612</v>
      </c>
      <c r="C28" s="10" t="s">
        <v>308</v>
      </c>
      <c r="D28" s="11" t="s">
        <v>309</v>
      </c>
      <c r="E28" s="12" t="s">
        <v>310</v>
      </c>
    </row>
    <row r="29" spans="1:5" ht="26.4" x14ac:dyDescent="0.3">
      <c r="A29" s="8" t="s">
        <v>311</v>
      </c>
      <c r="B29" s="33">
        <f>'Rule tables'!$B$58*$B$26^(-'Rule tables'!$B$59)</f>
        <v>3.8533621109036029</v>
      </c>
      <c r="C29" s="10" t="s">
        <v>308</v>
      </c>
      <c r="D29" s="11" t="s">
        <v>312</v>
      </c>
      <c r="E29" s="12" t="s">
        <v>313</v>
      </c>
    </row>
    <row r="30" spans="1:5" x14ac:dyDescent="0.3">
      <c r="A30" s="8" t="s">
        <v>314</v>
      </c>
      <c r="B30" s="22">
        <f>INDEX('Rule tables'!$B$70:$B$77,MATCH($B$24,'Rule tables'!$A$70:$A$77,0))</f>
        <v>0.09</v>
      </c>
      <c r="C30" s="10"/>
      <c r="D30" s="11"/>
      <c r="E30" s="12" t="s">
        <v>315</v>
      </c>
    </row>
    <row r="31" spans="1:5" ht="26.4" x14ac:dyDescent="0.3">
      <c r="A31" s="8" t="s">
        <v>316</v>
      </c>
      <c r="B31" s="33">
        <f>$B$29*(1-$B$30)</f>
        <v>3.5065595209222788</v>
      </c>
      <c r="C31" s="10" t="s">
        <v>308</v>
      </c>
      <c r="D31" s="11" t="s">
        <v>317</v>
      </c>
      <c r="E31" s="12"/>
    </row>
    <row r="32" spans="1:5" x14ac:dyDescent="0.3">
      <c r="A32" s="8" t="s">
        <v>318</v>
      </c>
      <c r="B32" s="33">
        <f>$B$28/$B$31</f>
        <v>1.3041916953540784</v>
      </c>
      <c r="C32" s="10"/>
      <c r="D32" s="11"/>
      <c r="E32" s="12"/>
    </row>
    <row r="33" spans="1:5" ht="26.4" x14ac:dyDescent="0.3">
      <c r="A33" s="8" t="s">
        <v>319</v>
      </c>
      <c r="B33" s="33">
        <f>'Rule tables'!$B$62*$B$31</f>
        <v>3.0156411879931597</v>
      </c>
      <c r="C33" s="10" t="s">
        <v>308</v>
      </c>
      <c r="D33" s="11" t="s">
        <v>320</v>
      </c>
      <c r="E33" s="12" t="s">
        <v>321</v>
      </c>
    </row>
    <row r="34" spans="1:5" ht="26.4" x14ac:dyDescent="0.3">
      <c r="A34" s="8" t="s">
        <v>322</v>
      </c>
      <c r="B34" s="33">
        <f>'Rule tables'!$B$63*$B$31</f>
        <v>3.2961659496669418</v>
      </c>
      <c r="C34" s="10" t="s">
        <v>308</v>
      </c>
      <c r="D34" s="11" t="s">
        <v>323</v>
      </c>
      <c r="E34" s="12" t="s">
        <v>321</v>
      </c>
    </row>
    <row r="35" spans="1:5" ht="26.4" x14ac:dyDescent="0.3">
      <c r="A35" s="8" t="s">
        <v>324</v>
      </c>
      <c r="B35" s="33">
        <f>'Rule tables'!$B$64*$B$31</f>
        <v>3.7169530921776159</v>
      </c>
      <c r="C35" s="10" t="s">
        <v>308</v>
      </c>
      <c r="D35" s="11" t="s">
        <v>325</v>
      </c>
      <c r="E35" s="12" t="s">
        <v>321</v>
      </c>
    </row>
    <row r="36" spans="1:5" ht="26.4" x14ac:dyDescent="0.3">
      <c r="A36" s="8" t="s">
        <v>326</v>
      </c>
      <c r="B36" s="33">
        <f>'Rule tables'!$B$65*$B$31</f>
        <v>4.1377402346882892</v>
      </c>
      <c r="C36" s="10" t="s">
        <v>308</v>
      </c>
      <c r="D36" s="11" t="s">
        <v>327</v>
      </c>
      <c r="E36" s="12" t="s">
        <v>321</v>
      </c>
    </row>
    <row r="37" spans="1:5" x14ac:dyDescent="0.3">
      <c r="A37" s="24" t="s">
        <v>328</v>
      </c>
      <c r="B37" s="39" t="str">
        <f>IF($B$32&lt;='Rule tables'!$B$62,"A",IF($B$32&lt;='Rule tables'!$B$63,"B",IF($B$32&lt;='Rule tables'!$B$64,"C",IF($B$32&lt;='Rule tables'!$B$65,"D","E"))))</f>
        <v>E</v>
      </c>
      <c r="C37" s="10"/>
      <c r="D37" s="11" t="s">
        <v>329</v>
      </c>
      <c r="E37" s="12"/>
    </row>
    <row r="39" spans="1:5" x14ac:dyDescent="0.3">
      <c r="A39" s="5" t="s">
        <v>331</v>
      </c>
      <c r="B39" s="6"/>
      <c r="C39" s="6"/>
      <c r="D39" s="6"/>
      <c r="E39" s="6"/>
    </row>
    <row r="40" spans="1:5" x14ac:dyDescent="0.3">
      <c r="A40" s="7" t="s">
        <v>18</v>
      </c>
      <c r="B40" s="7" t="s">
        <v>19</v>
      </c>
      <c r="C40" s="7" t="s">
        <v>20</v>
      </c>
      <c r="D40" s="7" t="s">
        <v>21</v>
      </c>
      <c r="E40" s="7" t="s">
        <v>22</v>
      </c>
    </row>
    <row r="41" spans="1:5" x14ac:dyDescent="0.3">
      <c r="A41" s="8" t="s">
        <v>332</v>
      </c>
      <c r="B41" s="20" t="str">
        <f>IF($B$11/($B$12*(1-'Rule tables'!$B$70))&lt;='Rule tables'!$B$62,"A",IF($B$11/($B$12*(1-'Rule tables'!$B$70))&lt;='Rule tables'!$B$63,"B",IF($B$11/($B$12*(1-'Rule tables'!$B$70))&lt;='Rule tables'!$B$64,"C",IF($B$11/($B$12*(1-'Rule tables'!$B$70))&lt;='Rule tables'!$B$65,"D","E"))))</f>
        <v>A</v>
      </c>
      <c r="C41" s="10"/>
      <c r="D41" s="11" t="s">
        <v>333</v>
      </c>
      <c r="E41" s="12"/>
    </row>
    <row r="42" spans="1:5" x14ac:dyDescent="0.3">
      <c r="A42" s="8" t="s">
        <v>334</v>
      </c>
      <c r="B42" s="20" t="str">
        <f>IF($B$11/($B$12*(1-'Rule tables'!$B$71))&lt;='Rule tables'!$B$62,"A",IF($B$11/($B$12*(1-'Rule tables'!$B$71))&lt;='Rule tables'!$B$63,"B",IF($B$11/($B$12*(1-'Rule tables'!$B$71))&lt;='Rule tables'!$B$64,"C",IF($B$11/($B$12*(1-'Rule tables'!$B$71))&lt;='Rule tables'!$B$65,"D","E"))))</f>
        <v>A</v>
      </c>
      <c r="C42" s="10"/>
      <c r="D42" s="11" t="s">
        <v>335</v>
      </c>
      <c r="E42" s="12"/>
    </row>
    <row r="43" spans="1:5" x14ac:dyDescent="0.3">
      <c r="A43" s="8" t="s">
        <v>336</v>
      </c>
      <c r="B43" s="20" t="str">
        <f>IF($B$11/($B$12*(1-'Rule tables'!$B$72))&lt;='Rule tables'!$B$62,"A",IF($B$11/($B$12*(1-'Rule tables'!$B$72))&lt;='Rule tables'!$B$63,"B",IF($B$11/($B$12*(1-'Rule tables'!$B$72))&lt;='Rule tables'!$B$64,"C",IF($B$11/($B$12*(1-'Rule tables'!$B$72))&lt;='Rule tables'!$B$65,"D","E"))))</f>
        <v>A</v>
      </c>
      <c r="C43" s="10"/>
      <c r="D43" s="11" t="s">
        <v>337</v>
      </c>
      <c r="E43" s="12"/>
    </row>
    <row r="44" spans="1:5" x14ac:dyDescent="0.3">
      <c r="A44" s="8" t="s">
        <v>338</v>
      </c>
      <c r="B44" s="20" t="str">
        <f>IF($B$11/($B$12*(1-'Rule tables'!$B$73))&lt;='Rule tables'!$B$62,"A",IF($B$11/($B$12*(1-'Rule tables'!$B$73))&lt;='Rule tables'!$B$63,"B",IF($B$11/($B$12*(1-'Rule tables'!$B$73))&lt;='Rule tables'!$B$64,"C",IF($B$11/($B$12*(1-'Rule tables'!$B$73))&lt;='Rule tables'!$B$65,"D","E"))))</f>
        <v>A</v>
      </c>
      <c r="C44" s="10"/>
      <c r="D44" s="11" t="s">
        <v>339</v>
      </c>
      <c r="E44" s="12"/>
    </row>
    <row r="45" spans="1:5" x14ac:dyDescent="0.3">
      <c r="A45" s="8" t="s">
        <v>340</v>
      </c>
      <c r="B45" s="20" t="str">
        <f>IF($B$11/($B$12*(1-'Rule tables'!$B$74))&lt;='Rule tables'!$B$62,"A",IF($B$11/($B$12*(1-'Rule tables'!$B$74))&lt;='Rule tables'!$B$63,"B",IF($B$11/($B$12*(1-'Rule tables'!$B$74))&lt;='Rule tables'!$B$64,"C",IF($B$11/($B$12*(1-'Rule tables'!$B$74))&lt;='Rule tables'!$B$65,"D","E"))))</f>
        <v>A</v>
      </c>
      <c r="C45" s="10"/>
      <c r="D45" s="11" t="s">
        <v>341</v>
      </c>
      <c r="E45" s="12"/>
    </row>
    <row r="46" spans="1:5" x14ac:dyDescent="0.3">
      <c r="A46" s="8" t="s">
        <v>342</v>
      </c>
      <c r="B46" s="20" t="str">
        <f>IF($B$11/($B$12*(1-'Rule tables'!$B$75))&lt;='Rule tables'!$B$62,"A",IF($B$11/($B$12*(1-'Rule tables'!$B$75))&lt;='Rule tables'!$B$63,"B",IF($B$11/($B$12*(1-'Rule tables'!$B$75))&lt;='Rule tables'!$B$64,"C",IF($B$11/($B$12*(1-'Rule tables'!$B$75))&lt;='Rule tables'!$B$65,"D","E"))))</f>
        <v>A</v>
      </c>
      <c r="C46" s="10"/>
      <c r="D46" s="11" t="s">
        <v>343</v>
      </c>
      <c r="E46" s="12"/>
    </row>
    <row r="47" spans="1:5" x14ac:dyDescent="0.3">
      <c r="A47" s="8" t="s">
        <v>344</v>
      </c>
      <c r="B47" s="20" t="str">
        <f>IF($B$11/($B$12*(1-'Rule tables'!$B$76))&lt;='Rule tables'!$B$62,"A",IF($B$11/($B$12*(1-'Rule tables'!$B$76))&lt;='Rule tables'!$B$63,"B",IF($B$11/($B$12*(1-'Rule tables'!$B$76))&lt;='Rule tables'!$B$64,"C",IF($B$11/($B$12*(1-'Rule tables'!$B$76))&lt;='Rule tables'!$B$65,"D","E"))))</f>
        <v>A</v>
      </c>
      <c r="C47" s="10"/>
      <c r="D47" s="11" t="s">
        <v>345</v>
      </c>
      <c r="E47" s="12"/>
    </row>
    <row r="48" spans="1:5" x14ac:dyDescent="0.3">
      <c r="A48" s="8" t="s">
        <v>346</v>
      </c>
      <c r="B48" s="20" t="str">
        <f>IF($B$11/($B$12*(1-'Rule tables'!$B$77))&lt;='Rule tables'!$B$62,"A",IF($B$11/($B$12*(1-'Rule tables'!$B$77))&lt;='Rule tables'!$B$63,"B",IF($B$11/($B$12*(1-'Rule tables'!$B$77))&lt;='Rule tables'!$B$64,"C",IF($B$11/($B$12*(1-'Rule tables'!$B$77))&lt;='Rule tables'!$B$65,"D","E"))))</f>
        <v>A</v>
      </c>
      <c r="C48" s="10"/>
      <c r="D48" s="11" t="s">
        <v>347</v>
      </c>
      <c r="E48" s="12"/>
    </row>
    <row r="49" spans="1:5" ht="15" customHeight="1" x14ac:dyDescent="0.3">
      <c r="A49" s="57" t="s">
        <v>348</v>
      </c>
      <c r="B49" s="56"/>
      <c r="C49" s="56"/>
      <c r="D49" s="56"/>
      <c r="E49" s="56"/>
    </row>
  </sheetData>
  <mergeCells count="2">
    <mergeCell ref="A2:E2"/>
    <mergeCell ref="A49:E4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349</v>
      </c>
    </row>
    <row r="2" spans="1:5" ht="30" customHeight="1" x14ac:dyDescent="0.3">
      <c r="A2" s="55" t="s">
        <v>350</v>
      </c>
      <c r="B2" s="56"/>
      <c r="C2" s="56"/>
      <c r="D2" s="56"/>
      <c r="E2" s="56"/>
    </row>
    <row r="5" spans="1:5" x14ac:dyDescent="0.3">
      <c r="A5" s="5" t="s">
        <v>351</v>
      </c>
      <c r="B5" s="6"/>
      <c r="C5" s="6"/>
      <c r="D5" s="6"/>
      <c r="E5" s="6"/>
    </row>
    <row r="6" spans="1:5" x14ac:dyDescent="0.3">
      <c r="A6" s="7" t="s">
        <v>18</v>
      </c>
      <c r="B6" s="7" t="s">
        <v>19</v>
      </c>
      <c r="C6" s="7" t="s">
        <v>20</v>
      </c>
      <c r="D6" s="7" t="s">
        <v>21</v>
      </c>
      <c r="E6" s="7" t="s">
        <v>22</v>
      </c>
    </row>
    <row r="7" spans="1:5" x14ac:dyDescent="0.3">
      <c r="A7" s="8" t="s">
        <v>208</v>
      </c>
      <c r="B7" s="16">
        <v>2026</v>
      </c>
      <c r="C7" s="10"/>
      <c r="D7" s="11"/>
      <c r="E7" s="12"/>
    </row>
    <row r="8" spans="1:5" x14ac:dyDescent="0.3">
      <c r="A8" s="8" t="s">
        <v>193</v>
      </c>
      <c r="B8" s="18">
        <v>10000</v>
      </c>
      <c r="C8" s="10" t="s">
        <v>162</v>
      </c>
      <c r="D8" s="11"/>
      <c r="E8" s="12" t="s">
        <v>192</v>
      </c>
    </row>
    <row r="9" spans="1:5" x14ac:dyDescent="0.3">
      <c r="A9" s="8" t="s">
        <v>352</v>
      </c>
      <c r="B9" s="14">
        <v>50000</v>
      </c>
      <c r="C9" s="10" t="s">
        <v>303</v>
      </c>
      <c r="D9" s="11"/>
      <c r="E9" s="12" t="s">
        <v>192</v>
      </c>
    </row>
    <row r="10" spans="1:5" x14ac:dyDescent="0.3">
      <c r="A10" s="8" t="s">
        <v>353</v>
      </c>
      <c r="B10" s="14">
        <v>100000</v>
      </c>
      <c r="C10" s="10" t="s">
        <v>259</v>
      </c>
      <c r="D10" s="11"/>
      <c r="E10" s="12" t="s">
        <v>192</v>
      </c>
    </row>
    <row r="11" spans="1:5" x14ac:dyDescent="0.3">
      <c r="A11" s="8" t="s">
        <v>354</v>
      </c>
      <c r="B11" s="14">
        <v>1000</v>
      </c>
      <c r="C11" s="10" t="s">
        <v>355</v>
      </c>
      <c r="D11" s="11"/>
      <c r="E11" s="12" t="s">
        <v>192</v>
      </c>
    </row>
    <row r="12" spans="1:5" x14ac:dyDescent="0.3">
      <c r="A12" s="8" t="s">
        <v>356</v>
      </c>
      <c r="B12" s="37">
        <f>'Rule tables'!$B$87*24*'Rule tables'!$B$88*$B$11/1000000</f>
        <v>11.55</v>
      </c>
      <c r="C12" s="10" t="s">
        <v>162</v>
      </c>
      <c r="D12" s="11" t="s">
        <v>357</v>
      </c>
      <c r="E12" s="12" t="s">
        <v>358</v>
      </c>
    </row>
    <row r="13" spans="1:5" x14ac:dyDescent="0.3">
      <c r="A13" s="8" t="s">
        <v>359</v>
      </c>
      <c r="B13" s="33">
        <f>0.75-0.03*MAX(0,$B$7-2023)</f>
        <v>0.66</v>
      </c>
      <c r="C13" s="10"/>
      <c r="D13" s="11" t="s">
        <v>360</v>
      </c>
      <c r="E13" s="12" t="s">
        <v>361</v>
      </c>
    </row>
    <row r="14" spans="1:5" x14ac:dyDescent="0.3">
      <c r="A14" s="8" t="s">
        <v>362</v>
      </c>
      <c r="B14" s="23">
        <f>'Rule tables'!$B$7*($B$8-$B$13*$B$12)</f>
        <v>31116.261977999999</v>
      </c>
      <c r="C14" s="10" t="s">
        <v>162</v>
      </c>
      <c r="D14" s="11" t="s">
        <v>363</v>
      </c>
      <c r="E14" s="12"/>
    </row>
    <row r="15" spans="1:5" ht="26.4" x14ac:dyDescent="0.3">
      <c r="A15" s="24" t="s">
        <v>364</v>
      </c>
      <c r="B15" s="29">
        <f>$B$14*1000000/($B$9*$B$10)</f>
        <v>6.2232523956000003</v>
      </c>
      <c r="C15" s="10" t="s">
        <v>308</v>
      </c>
      <c r="D15" s="11"/>
      <c r="E15" s="12"/>
    </row>
    <row r="16" spans="1:5" ht="26.4" x14ac:dyDescent="0.3">
      <c r="A16" s="8" t="s">
        <v>365</v>
      </c>
      <c r="B16" s="33">
        <f>'Rule tables'!$B$7*$B$8*1000000/($B$9*$B$10)</f>
        <v>6.2279999999999998</v>
      </c>
      <c r="C16" s="10" t="s">
        <v>308</v>
      </c>
      <c r="D16" s="11"/>
      <c r="E16" s="12"/>
    </row>
    <row r="17" spans="1:5" x14ac:dyDescent="0.3">
      <c r="A17" s="8" t="s">
        <v>366</v>
      </c>
      <c r="B17" s="33">
        <f>'Rule tables'!$B$60*$B$9^(-'Rule tables'!$B$61)*(1-INDEX('Rule tables'!$B$70:$B$77,MATCH($B$7,'Rule tables'!$A$70:$A$77,0)))</f>
        <v>8.8947826924180262</v>
      </c>
      <c r="C17" s="10"/>
      <c r="D17" s="11"/>
      <c r="E17" s="12"/>
    </row>
    <row r="18" spans="1:5" ht="45" customHeight="1" x14ac:dyDescent="0.3">
      <c r="A18" s="57" t="s">
        <v>367</v>
      </c>
      <c r="B18" s="56"/>
      <c r="C18" s="56"/>
      <c r="D18" s="56"/>
      <c r="E18" s="56"/>
    </row>
  </sheetData>
  <mergeCells count="2">
    <mergeCell ref="A2:E2"/>
    <mergeCell ref="A18:E1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2"/>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368</v>
      </c>
    </row>
    <row r="2" spans="1:5" ht="30" customHeight="1" x14ac:dyDescent="0.3">
      <c r="A2" s="55" t="s">
        <v>369</v>
      </c>
      <c r="B2" s="56"/>
      <c r="C2" s="56"/>
      <c r="D2" s="56"/>
      <c r="E2" s="56"/>
    </row>
    <row r="5" spans="1:5" x14ac:dyDescent="0.3">
      <c r="A5" s="5" t="s">
        <v>370</v>
      </c>
      <c r="B5" s="6"/>
      <c r="C5" s="6"/>
      <c r="D5" s="6"/>
      <c r="E5" s="6"/>
    </row>
    <row r="6" spans="1:5" x14ac:dyDescent="0.3">
      <c r="A6" s="7" t="s">
        <v>18</v>
      </c>
      <c r="B6" s="7" t="s">
        <v>19</v>
      </c>
      <c r="C6" s="7" t="s">
        <v>20</v>
      </c>
      <c r="D6" s="7" t="s">
        <v>21</v>
      </c>
      <c r="E6" s="7" t="s">
        <v>22</v>
      </c>
    </row>
    <row r="7" spans="1:5" x14ac:dyDescent="0.3">
      <c r="A7" s="8" t="s">
        <v>371</v>
      </c>
      <c r="B7" s="14">
        <v>93000</v>
      </c>
      <c r="C7" s="10" t="s">
        <v>303</v>
      </c>
      <c r="D7" s="11"/>
      <c r="E7" s="12" t="s">
        <v>372</v>
      </c>
    </row>
    <row r="8" spans="1:5" x14ac:dyDescent="0.3">
      <c r="A8" s="8" t="s">
        <v>373</v>
      </c>
      <c r="B8" s="33">
        <f>'Rule tables'!$B$81*$B$7^(-'Rule tables'!$B$82)</f>
        <v>4.1031169037214754</v>
      </c>
      <c r="C8" s="10" t="s">
        <v>374</v>
      </c>
      <c r="D8" s="11" t="s">
        <v>375</v>
      </c>
      <c r="E8" s="12"/>
    </row>
    <row r="9" spans="1:5" x14ac:dyDescent="0.3">
      <c r="A9" s="8" t="s">
        <v>376</v>
      </c>
      <c r="B9" s="33">
        <f>$B$8*(1-'Rule tables'!$B$83)</f>
        <v>3.2824935229771803</v>
      </c>
      <c r="C9" s="10" t="s">
        <v>374</v>
      </c>
      <c r="D9" s="11" t="s">
        <v>377</v>
      </c>
      <c r="E9" s="12"/>
    </row>
    <row r="10" spans="1:5" x14ac:dyDescent="0.3">
      <c r="A10" s="8" t="s">
        <v>378</v>
      </c>
      <c r="B10" s="13">
        <v>2.97</v>
      </c>
      <c r="C10" s="10" t="s">
        <v>374</v>
      </c>
      <c r="D10" s="11"/>
      <c r="E10" s="12" t="s">
        <v>379</v>
      </c>
    </row>
    <row r="11" spans="1:5" x14ac:dyDescent="0.3">
      <c r="A11" s="8" t="s">
        <v>380</v>
      </c>
      <c r="B11" s="22">
        <f>($B$9-$B$10)/$B$9</f>
        <v>9.5200042525522624E-2</v>
      </c>
      <c r="C11" s="10"/>
      <c r="D11" s="11" t="s">
        <v>381</v>
      </c>
      <c r="E11" s="12"/>
    </row>
    <row r="12" spans="1:5" x14ac:dyDescent="0.3">
      <c r="A12" s="24" t="s">
        <v>382</v>
      </c>
      <c r="B12" s="39" t="str">
        <f>IF($B$10&lt;=$B$9,"COMPLIANT","ABOVE REQUIRED")</f>
        <v>COMPLIANT</v>
      </c>
      <c r="C12" s="10"/>
      <c r="D12" s="11"/>
      <c r="E12" s="12"/>
    </row>
  </sheetData>
  <mergeCells count="1">
    <mergeCell ref="A2:E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8"/>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383</v>
      </c>
    </row>
    <row r="2" spans="1:5" ht="30" customHeight="1" x14ac:dyDescent="0.3">
      <c r="A2" s="55" t="s">
        <v>384</v>
      </c>
      <c r="B2" s="56"/>
      <c r="C2" s="56"/>
      <c r="D2" s="56"/>
      <c r="E2" s="56"/>
    </row>
    <row r="5" spans="1:5" x14ac:dyDescent="0.3">
      <c r="A5" s="5" t="s">
        <v>385</v>
      </c>
      <c r="B5" s="6"/>
      <c r="C5" s="6"/>
      <c r="D5" s="6"/>
      <c r="E5" s="6"/>
    </row>
    <row r="6" spans="1:5" x14ac:dyDescent="0.3">
      <c r="A6" s="7" t="s">
        <v>18</v>
      </c>
      <c r="B6" s="7" t="s">
        <v>19</v>
      </c>
      <c r="C6" s="7" t="s">
        <v>20</v>
      </c>
      <c r="D6" s="7" t="s">
        <v>21</v>
      </c>
      <c r="E6" s="7" t="s">
        <v>22</v>
      </c>
    </row>
    <row r="7" spans="1:5" x14ac:dyDescent="0.3">
      <c r="A7" s="8" t="s">
        <v>208</v>
      </c>
      <c r="B7" s="16">
        <v>2026</v>
      </c>
      <c r="C7" s="10"/>
      <c r="D7" s="11"/>
      <c r="E7" s="12"/>
    </row>
    <row r="8" spans="1:5" x14ac:dyDescent="0.3">
      <c r="A8" s="8" t="s">
        <v>386</v>
      </c>
      <c r="B8" s="18">
        <v>4300</v>
      </c>
      <c r="C8" s="10" t="s">
        <v>162</v>
      </c>
      <c r="D8" s="11"/>
      <c r="E8" s="12" t="s">
        <v>192</v>
      </c>
    </row>
    <row r="9" spans="1:5" x14ac:dyDescent="0.3">
      <c r="A9" s="8" t="s">
        <v>387</v>
      </c>
      <c r="B9" s="17">
        <v>0.4</v>
      </c>
      <c r="C9" s="10"/>
      <c r="D9" s="11"/>
      <c r="E9" s="12" t="s">
        <v>388</v>
      </c>
    </row>
    <row r="10" spans="1:5" x14ac:dyDescent="0.3">
      <c r="A10" s="8" t="s">
        <v>389</v>
      </c>
      <c r="B10" s="17">
        <v>0.3</v>
      </c>
      <c r="C10" s="10"/>
      <c r="D10" s="11"/>
      <c r="E10" s="12" t="s">
        <v>62</v>
      </c>
    </row>
    <row r="11" spans="1:5" x14ac:dyDescent="0.3">
      <c r="A11" s="8" t="s">
        <v>390</v>
      </c>
      <c r="B11" s="17">
        <v>0.1</v>
      </c>
      <c r="C11" s="10"/>
      <c r="D11" s="11"/>
      <c r="E11" s="12" t="s">
        <v>62</v>
      </c>
    </row>
    <row r="12" spans="1:5" x14ac:dyDescent="0.3">
      <c r="A12" s="8" t="s">
        <v>391</v>
      </c>
      <c r="B12" s="17">
        <v>0.05</v>
      </c>
      <c r="C12" s="10"/>
      <c r="D12" s="11"/>
      <c r="E12" s="12" t="s">
        <v>62</v>
      </c>
    </row>
    <row r="13" spans="1:5" x14ac:dyDescent="0.3">
      <c r="A13" s="8" t="s">
        <v>392</v>
      </c>
      <c r="B13" s="17">
        <v>0</v>
      </c>
      <c r="C13" s="10"/>
      <c r="D13" s="11"/>
      <c r="E13" s="12" t="s">
        <v>62</v>
      </c>
    </row>
    <row r="14" spans="1:5" x14ac:dyDescent="0.3">
      <c r="A14" s="8" t="s">
        <v>393</v>
      </c>
      <c r="B14" s="22">
        <f>1-$B$9-$B$10-$B$11-$B$12-$B$13</f>
        <v>0.14999999999999997</v>
      </c>
      <c r="C14" s="10"/>
      <c r="D14" s="11" t="s">
        <v>394</v>
      </c>
      <c r="E14" s="12"/>
    </row>
    <row r="15" spans="1:5" x14ac:dyDescent="0.3">
      <c r="A15" s="8" t="s">
        <v>395</v>
      </c>
      <c r="B15" s="21">
        <f>'Rule tables'!$B$7+IF($B$7&gt;='Rule tables'!$B$19,'Rule tables'!$B$15*'Rule tables'!$B$17+'Rule tables'!$B$16*'Rule tables'!$B$18,0)</f>
        <v>3.1631</v>
      </c>
      <c r="C15" s="10" t="s">
        <v>396</v>
      </c>
      <c r="D15" s="11" t="s">
        <v>397</v>
      </c>
      <c r="E15" s="12"/>
    </row>
    <row r="16" spans="1:5" x14ac:dyDescent="0.3">
      <c r="A16" s="8" t="s">
        <v>398</v>
      </c>
      <c r="B16" s="23">
        <f>$B$8*($B$9*'Rule tables'!$B$34+$B$10*'Rule tables'!$B$35+$B$11*'Rule tables'!$B$36)</f>
        <v>2795</v>
      </c>
      <c r="C16" s="10" t="s">
        <v>162</v>
      </c>
      <c r="D16" s="11" t="s">
        <v>399</v>
      </c>
      <c r="E16" s="12"/>
    </row>
    <row r="17" spans="1:5" x14ac:dyDescent="0.3">
      <c r="A17" s="8" t="s">
        <v>400</v>
      </c>
      <c r="B17" s="23">
        <f>$B$16*$B$15</f>
        <v>8840.8644999999997</v>
      </c>
      <c r="C17" s="10" t="s">
        <v>197</v>
      </c>
      <c r="D17" s="11"/>
      <c r="E17" s="12"/>
    </row>
    <row r="18" spans="1:5" x14ac:dyDescent="0.3">
      <c r="A18" s="24" t="s">
        <v>186</v>
      </c>
      <c r="B18" s="25">
        <f>$B$17*INDEX('Rule tables'!$B$23:$B$30,MATCH($B$7,'Rule tables'!$A$23:$A$30,0))*Assumptions!$B$7</f>
        <v>751473.48249999993</v>
      </c>
      <c r="C18" s="10" t="s">
        <v>187</v>
      </c>
      <c r="D18" s="11"/>
      <c r="E18" s="12"/>
    </row>
    <row r="19" spans="1:5" x14ac:dyDescent="0.3">
      <c r="A19" s="8" t="s">
        <v>401</v>
      </c>
      <c r="B19" s="23">
        <f>$B$8*($B$12+$B$13*'Rule tables'!$B$37)</f>
        <v>215</v>
      </c>
      <c r="C19" s="10" t="s">
        <v>162</v>
      </c>
      <c r="D19" s="11" t="s">
        <v>402</v>
      </c>
      <c r="E19" s="12" t="s">
        <v>403</v>
      </c>
    </row>
    <row r="20" spans="1:5" x14ac:dyDescent="0.3">
      <c r="A20" s="8" t="s">
        <v>404</v>
      </c>
      <c r="B20" s="23">
        <f>$B$19*$B$15</f>
        <v>680.06650000000002</v>
      </c>
      <c r="C20" s="10" t="s">
        <v>197</v>
      </c>
      <c r="D20" s="11" t="s">
        <v>405</v>
      </c>
      <c r="E20" s="12"/>
    </row>
    <row r="21" spans="1:5" x14ac:dyDescent="0.3">
      <c r="A21" s="24" t="s">
        <v>406</v>
      </c>
      <c r="B21" s="40">
        <f>$B$20*Assumptions!$B$8</f>
        <v>27202.66</v>
      </c>
      <c r="C21" s="10" t="s">
        <v>407</v>
      </c>
      <c r="D21" s="11"/>
      <c r="E21" s="12"/>
    </row>
    <row r="22" spans="1:5" x14ac:dyDescent="0.3">
      <c r="A22" s="8" t="s">
        <v>408</v>
      </c>
      <c r="B22" s="26">
        <f>$B$21*Assumptions!$B$9</f>
        <v>31283.058999999997</v>
      </c>
      <c r="C22" s="10" t="s">
        <v>187</v>
      </c>
      <c r="D22" s="11"/>
      <c r="E22" s="12"/>
    </row>
    <row r="23" spans="1:5" x14ac:dyDescent="0.3">
      <c r="A23" s="8" t="s">
        <v>409</v>
      </c>
      <c r="B23" s="28">
        <f>$B$16*'Rule tables'!$B$49</f>
        <v>113197500</v>
      </c>
      <c r="C23" s="10" t="s">
        <v>107</v>
      </c>
      <c r="D23" s="11" t="s">
        <v>410</v>
      </c>
      <c r="E23" s="12"/>
    </row>
    <row r="24" spans="1:5" x14ac:dyDescent="0.3">
      <c r="A24" s="8" t="s">
        <v>411</v>
      </c>
      <c r="B24" s="23">
        <f>('Rule tables'!$B$41*(1-INDEX('Rule tables'!$B$42:$B$48,MATCH($B$7,'Rule tables'!$A$42:$A$48,0)))-'Rule tables'!$B$50)*$B$23/1000000</f>
        <v>-272.03623199999981</v>
      </c>
      <c r="C24" s="10" t="s">
        <v>197</v>
      </c>
      <c r="D24" s="11"/>
      <c r="E24" s="12"/>
    </row>
    <row r="25" spans="1:5" x14ac:dyDescent="0.3">
      <c r="A25" s="24" t="s">
        <v>242</v>
      </c>
      <c r="B25" s="34">
        <f>IF($B$24&lt;0,ABS($B$24)*1000000/('Rule tables'!$B$50*'Rule tables'!$B$54)*'Rule tables'!$B$53*(1+(Assumptions!$B$11-1)/10),0)</f>
        <v>173578.28773788054</v>
      </c>
      <c r="C25" s="10" t="s">
        <v>187</v>
      </c>
      <c r="D25" s="11"/>
      <c r="E25" s="12"/>
    </row>
    <row r="26" spans="1:5" x14ac:dyDescent="0.3">
      <c r="A26" s="8" t="s">
        <v>412</v>
      </c>
      <c r="B26" s="35">
        <f>IF($B$24&lt;0,ABS($B$24)*Assumptions!$B$10,0)</f>
        <v>29923.98551999998</v>
      </c>
      <c r="C26" s="10" t="s">
        <v>187</v>
      </c>
      <c r="D26" s="11"/>
      <c r="E26" s="12"/>
    </row>
    <row r="27" spans="1:5" x14ac:dyDescent="0.3">
      <c r="A27" s="24" t="s">
        <v>413</v>
      </c>
      <c r="B27" s="34">
        <f>$B$18+$B$22+$B$25</f>
        <v>956334.82923788042</v>
      </c>
      <c r="C27" s="10" t="s">
        <v>187</v>
      </c>
      <c r="D27" s="11"/>
      <c r="E27" s="12"/>
    </row>
    <row r="28" spans="1:5" x14ac:dyDescent="0.3">
      <c r="A28" s="8" t="s">
        <v>414</v>
      </c>
      <c r="B28" s="35">
        <f>$B$18+$B$22+$B$26</f>
        <v>812680.52701999992</v>
      </c>
      <c r="C28" s="10" t="s">
        <v>187</v>
      </c>
      <c r="D28" s="11"/>
      <c r="E28" s="12"/>
    </row>
  </sheetData>
  <mergeCells count="1">
    <mergeCell ref="A2:E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6"/>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415</v>
      </c>
    </row>
    <row r="2" spans="1:5" ht="30" customHeight="1" x14ac:dyDescent="0.3">
      <c r="A2" s="55" t="s">
        <v>416</v>
      </c>
      <c r="B2" s="56"/>
      <c r="C2" s="56"/>
      <c r="D2" s="56"/>
      <c r="E2" s="56"/>
    </row>
    <row r="5" spans="1:5" x14ac:dyDescent="0.3">
      <c r="A5" s="5" t="s">
        <v>417</v>
      </c>
      <c r="B5" s="6"/>
      <c r="C5" s="6"/>
      <c r="D5" s="6"/>
      <c r="E5" s="6"/>
    </row>
    <row r="6" spans="1:5" x14ac:dyDescent="0.3">
      <c r="A6" s="7" t="s">
        <v>18</v>
      </c>
      <c r="B6" s="7" t="s">
        <v>19</v>
      </c>
      <c r="C6" s="7" t="s">
        <v>20</v>
      </c>
      <c r="D6" s="7" t="s">
        <v>21</v>
      </c>
      <c r="E6" s="7" t="s">
        <v>22</v>
      </c>
    </row>
    <row r="7" spans="1:5" x14ac:dyDescent="0.3">
      <c r="A7" s="8" t="s">
        <v>208</v>
      </c>
      <c r="B7" s="16">
        <v>2025</v>
      </c>
      <c r="C7" s="10"/>
      <c r="D7" s="11"/>
      <c r="E7" s="12"/>
    </row>
    <row r="8" spans="1:5" x14ac:dyDescent="0.3">
      <c r="A8" s="8" t="s">
        <v>418</v>
      </c>
      <c r="B8" s="41">
        <f>DATE(2025,3,1)</f>
        <v>45717</v>
      </c>
      <c r="C8" s="10"/>
      <c r="D8" s="11"/>
      <c r="E8" s="12" t="s">
        <v>419</v>
      </c>
    </row>
    <row r="9" spans="1:5" x14ac:dyDescent="0.3">
      <c r="A9" s="8" t="s">
        <v>420</v>
      </c>
      <c r="B9" s="41">
        <f>DATE(2025,8,31)</f>
        <v>45900</v>
      </c>
      <c r="C9" s="10"/>
      <c r="D9" s="11"/>
      <c r="E9" s="12" t="s">
        <v>419</v>
      </c>
    </row>
    <row r="10" spans="1:5" x14ac:dyDescent="0.3">
      <c r="A10" s="8" t="s">
        <v>421</v>
      </c>
      <c r="B10" s="42">
        <v>100000</v>
      </c>
      <c r="C10" s="10" t="s">
        <v>187</v>
      </c>
      <c r="D10" s="11"/>
      <c r="E10" s="12" t="s">
        <v>192</v>
      </c>
    </row>
    <row r="11" spans="1:5" x14ac:dyDescent="0.3">
      <c r="A11" s="8" t="s">
        <v>422</v>
      </c>
      <c r="B11" s="30">
        <f>MAX(0,MIN($B$9,DATE($B$7,12,31))-MAX($B$8,DATE($B$7,1,1))+1)</f>
        <v>184</v>
      </c>
      <c r="C11" s="10" t="s">
        <v>423</v>
      </c>
      <c r="D11" s="11" t="s">
        <v>424</v>
      </c>
      <c r="E11" s="12"/>
    </row>
    <row r="12" spans="1:5" x14ac:dyDescent="0.3">
      <c r="A12" s="8" t="s">
        <v>425</v>
      </c>
      <c r="B12" s="30">
        <f>DATE($B$7+1,1,1)-DATE($B$7,1,1)</f>
        <v>365</v>
      </c>
      <c r="C12" s="10" t="s">
        <v>423</v>
      </c>
      <c r="D12" s="11"/>
      <c r="E12" s="12"/>
    </row>
    <row r="13" spans="1:5" x14ac:dyDescent="0.3">
      <c r="A13" s="8" t="s">
        <v>426</v>
      </c>
      <c r="B13" s="22">
        <f>$B$11/$B$12</f>
        <v>0.50410958904109593</v>
      </c>
      <c r="C13" s="10"/>
      <c r="D13" s="11"/>
      <c r="E13" s="12"/>
    </row>
    <row r="14" spans="1:5" x14ac:dyDescent="0.3">
      <c r="A14" s="24" t="s">
        <v>427</v>
      </c>
      <c r="B14" s="34">
        <f>ROUND($B$10*$B$13,0)</f>
        <v>50411</v>
      </c>
      <c r="C14" s="10" t="s">
        <v>187</v>
      </c>
      <c r="D14" s="11"/>
      <c r="E14" s="12"/>
    </row>
    <row r="15" spans="1:5" x14ac:dyDescent="0.3">
      <c r="A15" s="24" t="s">
        <v>428</v>
      </c>
      <c r="B15" s="34">
        <f>$B$10-$B$14</f>
        <v>49589</v>
      </c>
      <c r="C15" s="10" t="s">
        <v>187</v>
      </c>
      <c r="D15" s="11"/>
      <c r="E15" s="12"/>
    </row>
    <row r="16" spans="1:5" ht="15" customHeight="1" x14ac:dyDescent="0.3">
      <c r="A16" s="57" t="s">
        <v>429</v>
      </c>
      <c r="B16" s="56"/>
      <c r="C16" s="56"/>
      <c r="D16" s="56"/>
      <c r="E16" s="56"/>
    </row>
  </sheetData>
  <mergeCells count="2">
    <mergeCell ref="A2:E2"/>
    <mergeCell ref="A16:E16"/>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0"/>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430</v>
      </c>
    </row>
    <row r="2" spans="1:5" ht="30" customHeight="1" x14ac:dyDescent="0.3">
      <c r="A2" s="55" t="s">
        <v>431</v>
      </c>
      <c r="B2" s="56"/>
      <c r="C2" s="56"/>
      <c r="D2" s="56"/>
      <c r="E2" s="56"/>
    </row>
    <row r="5" spans="1:5" x14ac:dyDescent="0.3">
      <c r="A5" s="5" t="s">
        <v>432</v>
      </c>
      <c r="B5" s="6"/>
      <c r="C5" s="6"/>
      <c r="D5" s="6"/>
      <c r="E5" s="6"/>
    </row>
    <row r="6" spans="1:5" x14ac:dyDescent="0.3">
      <c r="A6" s="7" t="s">
        <v>18</v>
      </c>
      <c r="B6" s="7" t="s">
        <v>19</v>
      </c>
      <c r="C6" s="7" t="s">
        <v>20</v>
      </c>
      <c r="D6" s="7" t="s">
        <v>21</v>
      </c>
      <c r="E6" s="7" t="s">
        <v>22</v>
      </c>
    </row>
    <row r="7" spans="1:5" x14ac:dyDescent="0.3">
      <c r="A7" s="8" t="s">
        <v>433</v>
      </c>
      <c r="B7" s="17">
        <v>-0.1</v>
      </c>
      <c r="C7" s="10"/>
      <c r="D7" s="11"/>
      <c r="E7" s="12" t="s">
        <v>434</v>
      </c>
    </row>
    <row r="8" spans="1:5" x14ac:dyDescent="0.3">
      <c r="A8" s="8" t="s">
        <v>435</v>
      </c>
      <c r="B8" s="13">
        <v>3</v>
      </c>
      <c r="C8" s="10"/>
      <c r="D8" s="11" t="s">
        <v>436</v>
      </c>
      <c r="E8" s="12" t="s">
        <v>437</v>
      </c>
    </row>
    <row r="9" spans="1:5" x14ac:dyDescent="0.3">
      <c r="A9" s="8" t="s">
        <v>438</v>
      </c>
      <c r="B9" s="17">
        <v>0</v>
      </c>
      <c r="C9" s="10"/>
      <c r="D9" s="11"/>
      <c r="E9" s="12" t="s">
        <v>439</v>
      </c>
    </row>
    <row r="10" spans="1:5" x14ac:dyDescent="0.3">
      <c r="A10" s="8" t="s">
        <v>440</v>
      </c>
      <c r="B10" s="21">
        <f>(1+$B$7)^($B$8-1)</f>
        <v>0.81</v>
      </c>
      <c r="C10" s="10"/>
      <c r="D10" s="11" t="s">
        <v>441</v>
      </c>
      <c r="E10" s="12"/>
    </row>
    <row r="11" spans="1:5" x14ac:dyDescent="0.3">
      <c r="A11" s="8" t="s">
        <v>442</v>
      </c>
      <c r="B11" s="21">
        <f>1/(1+$B$7)</f>
        <v>1.1111111111111112</v>
      </c>
      <c r="C11" s="10"/>
      <c r="D11" s="11" t="s">
        <v>443</v>
      </c>
      <c r="E11" s="12"/>
    </row>
    <row r="12" spans="1:5" x14ac:dyDescent="0.3">
      <c r="A12" s="24" t="s">
        <v>444</v>
      </c>
      <c r="B12" s="43">
        <f>(1-$B$9)*$B$10+$B$9*$B$11</f>
        <v>0.81</v>
      </c>
      <c r="C12" s="10"/>
      <c r="D12" s="11"/>
      <c r="E12" s="12"/>
    </row>
    <row r="14" spans="1:5" x14ac:dyDescent="0.3">
      <c r="A14" s="5" t="s">
        <v>445</v>
      </c>
      <c r="B14" s="6"/>
      <c r="C14" s="6"/>
      <c r="D14" s="6"/>
      <c r="E14" s="6"/>
    </row>
    <row r="15" spans="1:5" x14ac:dyDescent="0.3">
      <c r="A15" s="7" t="s">
        <v>18</v>
      </c>
      <c r="B15" s="7" t="s">
        <v>19</v>
      </c>
      <c r="C15" s="7" t="s">
        <v>20</v>
      </c>
      <c r="D15" s="7" t="s">
        <v>21</v>
      </c>
      <c r="E15" s="7" t="s">
        <v>22</v>
      </c>
    </row>
    <row r="16" spans="1:5" x14ac:dyDescent="0.3">
      <c r="A16" s="8" t="s">
        <v>446</v>
      </c>
      <c r="B16" s="17">
        <v>0.2</v>
      </c>
      <c r="C16" s="10"/>
      <c r="D16" s="11"/>
      <c r="E16" s="12" t="s">
        <v>434</v>
      </c>
    </row>
    <row r="17" spans="1:5" x14ac:dyDescent="0.3">
      <c r="A17" s="8" t="s">
        <v>447</v>
      </c>
      <c r="B17" s="18">
        <v>1000</v>
      </c>
      <c r="C17" s="10" t="s">
        <v>162</v>
      </c>
      <c r="D17" s="11"/>
      <c r="E17" s="12" t="s">
        <v>192</v>
      </c>
    </row>
    <row r="18" spans="1:5" x14ac:dyDescent="0.3">
      <c r="A18" s="8" t="s">
        <v>448</v>
      </c>
      <c r="B18" s="14">
        <v>37000</v>
      </c>
      <c r="C18" s="10" t="s">
        <v>96</v>
      </c>
      <c r="D18" s="11"/>
      <c r="E18" s="12" t="s">
        <v>449</v>
      </c>
    </row>
    <row r="19" spans="1:5" x14ac:dyDescent="0.3">
      <c r="A19" s="8" t="s">
        <v>450</v>
      </c>
      <c r="B19" s="23">
        <f>$B$17*(1-$B$16)</f>
        <v>800</v>
      </c>
      <c r="C19" s="10" t="s">
        <v>162</v>
      </c>
      <c r="D19" s="11"/>
      <c r="E19" s="12"/>
    </row>
    <row r="20" spans="1:5" x14ac:dyDescent="0.3">
      <c r="A20" s="24" t="s">
        <v>451</v>
      </c>
      <c r="B20" s="31">
        <f>$B$17*$B$16*'Rule tables'!$B$49/$B$18</f>
        <v>218.91891891891891</v>
      </c>
      <c r="C20" s="10" t="s">
        <v>162</v>
      </c>
      <c r="D20" s="11" t="s">
        <v>452</v>
      </c>
      <c r="E20" s="12"/>
    </row>
  </sheetData>
  <mergeCells count="1">
    <mergeCell ref="A2:E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4"/>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453</v>
      </c>
    </row>
    <row r="2" spans="1:5" ht="30" customHeight="1" x14ac:dyDescent="0.3">
      <c r="A2" s="55" t="s">
        <v>454</v>
      </c>
      <c r="B2" s="56"/>
      <c r="C2" s="56"/>
      <c r="D2" s="56"/>
      <c r="E2" s="56"/>
    </row>
    <row r="5" spans="1:5" x14ac:dyDescent="0.3">
      <c r="A5" s="5" t="s">
        <v>455</v>
      </c>
      <c r="B5" s="6"/>
      <c r="C5" s="6"/>
      <c r="D5" s="6"/>
      <c r="E5" s="6"/>
    </row>
    <row r="6" spans="1:5" x14ac:dyDescent="0.3">
      <c r="A6" s="7" t="s">
        <v>18</v>
      </c>
      <c r="B6" s="7" t="s">
        <v>19</v>
      </c>
      <c r="C6" s="7" t="s">
        <v>20</v>
      </c>
      <c r="D6" s="7" t="s">
        <v>21</v>
      </c>
      <c r="E6" s="7" t="s">
        <v>22</v>
      </c>
    </row>
    <row r="7" spans="1:5" x14ac:dyDescent="0.3">
      <c r="A7" s="8" t="s">
        <v>456</v>
      </c>
      <c r="B7" s="18">
        <v>3000</v>
      </c>
      <c r="C7" s="10" t="s">
        <v>162</v>
      </c>
      <c r="D7" s="11"/>
      <c r="E7" s="12" t="s">
        <v>192</v>
      </c>
    </row>
    <row r="8" spans="1:5" x14ac:dyDescent="0.3">
      <c r="A8" s="8" t="s">
        <v>457</v>
      </c>
      <c r="B8" s="28">
        <f>$B$7*'Rule tables'!$B$49</f>
        <v>121500000</v>
      </c>
      <c r="C8" s="10" t="s">
        <v>107</v>
      </c>
      <c r="D8" s="11"/>
      <c r="E8" s="12"/>
    </row>
    <row r="9" spans="1:5" x14ac:dyDescent="0.3">
      <c r="A9" s="8" t="s">
        <v>458</v>
      </c>
      <c r="B9" s="44">
        <f>'Rule tables'!$B$50</f>
        <v>91.74</v>
      </c>
      <c r="C9" s="10" t="s">
        <v>85</v>
      </c>
      <c r="D9" s="11"/>
      <c r="E9" s="12"/>
    </row>
    <row r="10" spans="1:5" x14ac:dyDescent="0.3">
      <c r="A10" s="8" t="s">
        <v>459</v>
      </c>
      <c r="B10" s="33">
        <f>'Rule tables'!$B$92*(1-'Rule tables'!$B$93)</f>
        <v>89.567999999999998</v>
      </c>
      <c r="C10" s="10" t="s">
        <v>85</v>
      </c>
      <c r="D10" s="11"/>
      <c r="E10" s="12"/>
    </row>
    <row r="11" spans="1:5" x14ac:dyDescent="0.3">
      <c r="A11" s="8" t="s">
        <v>460</v>
      </c>
      <c r="B11" s="33">
        <f>'Rule tables'!$B$92*(1-'Rule tables'!$B$94)</f>
        <v>77.438999999999993</v>
      </c>
      <c r="C11" s="10" t="s">
        <v>85</v>
      </c>
      <c r="D11" s="11"/>
      <c r="E11" s="12"/>
    </row>
    <row r="12" spans="1:5" x14ac:dyDescent="0.3">
      <c r="A12" s="8" t="s">
        <v>461</v>
      </c>
      <c r="B12" s="23">
        <f>MAX(0,$B$9-$B$10)*$B$8/1000000</f>
        <v>263.89799999999963</v>
      </c>
      <c r="C12" s="10" t="s">
        <v>197</v>
      </c>
      <c r="D12" s="11"/>
      <c r="E12" s="12"/>
    </row>
    <row r="13" spans="1:5" x14ac:dyDescent="0.3">
      <c r="A13" s="8" t="s">
        <v>462</v>
      </c>
      <c r="B13" s="23">
        <f>(MIN($B$9,$B$10)-$B$11)*$B$8/1000000*($B$9&gt;$B$11)</f>
        <v>1473.6735000000006</v>
      </c>
      <c r="C13" s="10" t="s">
        <v>197</v>
      </c>
      <c r="D13" s="11"/>
      <c r="E13" s="12"/>
    </row>
    <row r="14" spans="1:5" x14ac:dyDescent="0.3">
      <c r="A14" s="24" t="s">
        <v>463</v>
      </c>
      <c r="B14" s="45">
        <f>$B$13*'Rule tables'!$B$95+$B$12*'Rule tables'!$B$96</f>
        <v>247648.58999999991</v>
      </c>
      <c r="C14" s="10" t="s">
        <v>464</v>
      </c>
      <c r="D14" s="11"/>
      <c r="E14" s="12"/>
    </row>
  </sheetData>
  <mergeCells count="1">
    <mergeCell ref="A2:E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5"/>
  <sheetViews>
    <sheetView showGridLines="0" workbookViewId="0">
      <pane ySplit="3" topLeftCell="A4" activePane="bottomLeft" state="frozen"/>
      <selection pane="bottomLeft"/>
    </sheetView>
  </sheetViews>
  <sheetFormatPr defaultRowHeight="14.4" x14ac:dyDescent="0.3"/>
  <cols>
    <col min="1" max="1" width="46" customWidth="1"/>
    <col min="2" max="2" width="18" customWidth="1"/>
    <col min="3" max="3" width="14" customWidth="1"/>
    <col min="4" max="4" width="62" customWidth="1"/>
    <col min="5" max="5" width="46" customWidth="1"/>
  </cols>
  <sheetData>
    <row r="1" spans="1:5" ht="19.2" x14ac:dyDescent="0.35">
      <c r="A1" s="4" t="s">
        <v>465</v>
      </c>
    </row>
    <row r="2" spans="1:5" ht="30" customHeight="1" x14ac:dyDescent="0.3">
      <c r="A2" s="55" t="s">
        <v>466</v>
      </c>
      <c r="B2" s="56"/>
      <c r="C2" s="56"/>
      <c r="D2" s="56"/>
      <c r="E2" s="56"/>
    </row>
    <row r="5" spans="1:5" x14ac:dyDescent="0.3">
      <c r="A5" s="5" t="s">
        <v>467</v>
      </c>
      <c r="B5" s="6"/>
      <c r="C5" s="6"/>
      <c r="D5" s="6"/>
      <c r="E5" s="6"/>
    </row>
    <row r="6" spans="1:5" x14ac:dyDescent="0.3">
      <c r="A6" s="7" t="s">
        <v>18</v>
      </c>
      <c r="B6" s="7" t="s">
        <v>19</v>
      </c>
      <c r="C6" s="7" t="s">
        <v>20</v>
      </c>
      <c r="D6" s="7" t="s">
        <v>21</v>
      </c>
      <c r="E6" s="7" t="s">
        <v>22</v>
      </c>
    </row>
    <row r="7" spans="1:5" x14ac:dyDescent="0.3">
      <c r="A7" s="8" t="s">
        <v>159</v>
      </c>
      <c r="B7" s="16">
        <v>2025</v>
      </c>
      <c r="C7" s="10"/>
      <c r="D7" s="11"/>
      <c r="E7" s="12"/>
    </row>
    <row r="8" spans="1:5" x14ac:dyDescent="0.3">
      <c r="A8" s="8" t="s">
        <v>468</v>
      </c>
      <c r="B8" s="18">
        <v>602.76324999999997</v>
      </c>
      <c r="C8" s="10" t="s">
        <v>162</v>
      </c>
      <c r="D8" s="11"/>
      <c r="E8" s="12" t="s">
        <v>469</v>
      </c>
    </row>
    <row r="9" spans="1:5" x14ac:dyDescent="0.3">
      <c r="A9" s="8" t="s">
        <v>470</v>
      </c>
      <c r="B9" s="18">
        <v>5346.6825600000002</v>
      </c>
      <c r="C9" s="10" t="s">
        <v>162</v>
      </c>
      <c r="D9" s="11"/>
      <c r="E9" s="12" t="s">
        <v>469</v>
      </c>
    </row>
    <row r="10" spans="1:5" x14ac:dyDescent="0.3">
      <c r="A10" s="8" t="s">
        <v>471</v>
      </c>
      <c r="B10" s="18">
        <v>7493.6838399999997</v>
      </c>
      <c r="C10" s="10" t="s">
        <v>162</v>
      </c>
      <c r="D10" s="11"/>
      <c r="E10" s="12" t="s">
        <v>469</v>
      </c>
    </row>
    <row r="11" spans="1:5" x14ac:dyDescent="0.3">
      <c r="A11" s="8" t="s">
        <v>166</v>
      </c>
      <c r="B11" s="18">
        <v>386.02269000000001</v>
      </c>
      <c r="C11" s="10" t="s">
        <v>162</v>
      </c>
      <c r="D11" s="11"/>
      <c r="E11" s="12" t="s">
        <v>469</v>
      </c>
    </row>
    <row r="12" spans="1:5" x14ac:dyDescent="0.3">
      <c r="A12" s="8" t="s">
        <v>472</v>
      </c>
      <c r="B12" s="18">
        <v>7408.9691400000002</v>
      </c>
      <c r="C12" s="10" t="s">
        <v>162</v>
      </c>
      <c r="D12" s="11"/>
      <c r="E12" s="12" t="s">
        <v>469</v>
      </c>
    </row>
    <row r="13" spans="1:5" x14ac:dyDescent="0.3">
      <c r="A13" s="8" t="s">
        <v>473</v>
      </c>
      <c r="B13" s="23">
        <f>$B$8+0.5*($B$9+$B$10)+$B$11</f>
        <v>7408.9691399999992</v>
      </c>
      <c r="C13" s="10" t="s">
        <v>162</v>
      </c>
      <c r="D13" s="11"/>
      <c r="E13" s="12"/>
    </row>
    <row r="14" spans="1:5" x14ac:dyDescent="0.3">
      <c r="A14" s="8" t="s">
        <v>474</v>
      </c>
      <c r="B14" s="23">
        <f>IF($B$12="",$B$13,$B$12)</f>
        <v>7408.9691400000002</v>
      </c>
      <c r="C14" s="10" t="s">
        <v>162</v>
      </c>
      <c r="D14" s="11" t="s">
        <v>475</v>
      </c>
      <c r="E14" s="12"/>
    </row>
    <row r="15" spans="1:5" x14ac:dyDescent="0.3">
      <c r="A15" s="24" t="s">
        <v>186</v>
      </c>
      <c r="B15" s="25">
        <f>$B$14*INDEX('Rule tables'!$B$23:$B$30,MATCH($B$7,'Rule tables'!$A$23:$A$30,0))*Assumptions!$B$7</f>
        <v>440833.66382999998</v>
      </c>
      <c r="C15" s="10" t="s">
        <v>187</v>
      </c>
      <c r="D15" s="11"/>
      <c r="E15" s="12"/>
    </row>
    <row r="16" spans="1:5" x14ac:dyDescent="0.3">
      <c r="A16" s="8" t="s">
        <v>209</v>
      </c>
      <c r="B16" s="18">
        <v>13829.152340000001</v>
      </c>
      <c r="C16" s="10" t="s">
        <v>162</v>
      </c>
      <c r="D16" s="11"/>
      <c r="E16" s="12" t="s">
        <v>469</v>
      </c>
    </row>
    <row r="17" spans="1:5" x14ac:dyDescent="0.3">
      <c r="A17" s="8" t="s">
        <v>210</v>
      </c>
      <c r="B17" s="18">
        <v>4426.558</v>
      </c>
      <c r="C17" s="10" t="s">
        <v>162</v>
      </c>
      <c r="D17" s="11"/>
      <c r="E17" s="12" t="s">
        <v>469</v>
      </c>
    </row>
    <row r="18" spans="1:5" x14ac:dyDescent="0.3">
      <c r="A18" s="8" t="s">
        <v>476</v>
      </c>
      <c r="B18" s="22">
        <f>MAX(0,MIN(1,($B$16/$B$17-'Rule tables'!$B$7)/('Rule tables'!$B$9-'Rule tables'!$B$7)))</f>
        <v>0.11013250318723525</v>
      </c>
      <c r="C18" s="10"/>
      <c r="D18" s="11" t="s">
        <v>477</v>
      </c>
      <c r="E18" s="12"/>
    </row>
    <row r="19" spans="1:5" x14ac:dyDescent="0.3">
      <c r="A19" s="8" t="s">
        <v>478</v>
      </c>
      <c r="B19" s="23">
        <f>$B$13/($B$16/$B$17)</f>
        <v>2371.5286961991856</v>
      </c>
      <c r="C19" s="10" t="s">
        <v>162</v>
      </c>
      <c r="D19" s="11"/>
      <c r="E19" s="12"/>
    </row>
    <row r="20" spans="1:5" x14ac:dyDescent="0.3">
      <c r="A20" s="8" t="s">
        <v>277</v>
      </c>
      <c r="B20" s="30">
        <f>$B$19*((1-$B$18)*'Rule tables'!$B$49+$B$18*'Rule tables'!$B$51)</f>
        <v>96621513.457791135</v>
      </c>
      <c r="C20" s="10" t="s">
        <v>107</v>
      </c>
      <c r="D20" s="11"/>
      <c r="E20" s="12"/>
    </row>
    <row r="21" spans="1:5" x14ac:dyDescent="0.3">
      <c r="A21" s="8" t="s">
        <v>479</v>
      </c>
      <c r="B21" s="33">
        <f>$B$19*((1-$B$18)*'Rule tables'!$B$49*'Rule tables'!$B$50+$B$18*'Rule tables'!$B$51*'Rule tables'!$B$52)/$B$20</f>
        <v>91.628038252617003</v>
      </c>
      <c r="C21" s="10" t="s">
        <v>85</v>
      </c>
      <c r="D21" s="11"/>
      <c r="E21" s="12"/>
    </row>
    <row r="22" spans="1:5" x14ac:dyDescent="0.3">
      <c r="A22" s="8" t="s">
        <v>480</v>
      </c>
      <c r="B22" s="23">
        <f>IF($B$14=0,0,('Rule tables'!$B$41*(1-INDEX('Rule tables'!$B$42:$B$48,MATCH(MAX(2025,$B$7),'Rule tables'!$A$42:$A$48,0)))-$B$21)*$B$20/1000000)</f>
        <v>-221.38290766023991</v>
      </c>
      <c r="C22" s="10" t="s">
        <v>197</v>
      </c>
      <c r="D22" s="11" t="s">
        <v>481</v>
      </c>
      <c r="E22" s="12"/>
    </row>
    <row r="23" spans="1:5" x14ac:dyDescent="0.3">
      <c r="A23" s="24" t="s">
        <v>242</v>
      </c>
      <c r="B23" s="34">
        <f>IF(OR($B$7&lt;2025,$B$22&gt;=0),0,ABS($B$22)*1000000/($B$21*'Rule tables'!$B$54)*'Rule tables'!$B$53*(1+(Assumptions!$B$11-1)/10))</f>
        <v>141430.50227777203</v>
      </c>
      <c r="C23" s="10" t="s">
        <v>187</v>
      </c>
      <c r="D23" s="11"/>
      <c r="E23" s="12"/>
    </row>
    <row r="24" spans="1:5" x14ac:dyDescent="0.3">
      <c r="A24" s="8" t="s">
        <v>412</v>
      </c>
      <c r="B24" s="35">
        <f>IF(OR($B$7&lt;2025,$B$22&gt;=0),0,ABS($B$22)*Assumptions!$B$10)</f>
        <v>24352.119842626391</v>
      </c>
      <c r="C24" s="10" t="s">
        <v>187</v>
      </c>
      <c r="D24" s="11"/>
      <c r="E24" s="12"/>
    </row>
    <row r="25" spans="1:5" x14ac:dyDescent="0.3">
      <c r="A25" s="24" t="s">
        <v>482</v>
      </c>
      <c r="B25" s="34">
        <f>$B$15+$B$23</f>
        <v>582264.16610777203</v>
      </c>
      <c r="C25" s="10" t="s">
        <v>187</v>
      </c>
      <c r="D25" s="11"/>
      <c r="E25" s="12"/>
    </row>
  </sheetData>
  <mergeCells count="1">
    <mergeCell ref="A2:E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2"/>
  <sheetViews>
    <sheetView showGridLines="0" workbookViewId="0">
      <pane ySplit="3" topLeftCell="A4" activePane="bottomLeft" state="frozen"/>
      <selection pane="bottomLeft"/>
    </sheetView>
  </sheetViews>
  <sheetFormatPr defaultRowHeight="14.4" x14ac:dyDescent="0.3"/>
  <cols>
    <col min="1" max="1" width="52" customWidth="1"/>
    <col min="2" max="2" width="16" customWidth="1"/>
    <col min="3" max="3" width="18" customWidth="1"/>
    <col min="4" max="4" width="14" customWidth="1"/>
    <col min="5" max="5" width="12" customWidth="1"/>
    <col min="6" max="6" width="10" customWidth="1"/>
  </cols>
  <sheetData>
    <row r="1" spans="1:6" ht="19.2" x14ac:dyDescent="0.35">
      <c r="A1" s="4" t="s">
        <v>483</v>
      </c>
    </row>
    <row r="2" spans="1:6" ht="30" customHeight="1" x14ac:dyDescent="0.3">
      <c r="A2" s="55" t="s">
        <v>484</v>
      </c>
      <c r="B2" s="56"/>
      <c r="C2" s="56"/>
      <c r="D2" s="56"/>
      <c r="E2" s="56"/>
      <c r="F2" s="56"/>
    </row>
    <row r="5" spans="1:6" x14ac:dyDescent="0.3">
      <c r="A5" s="5" t="s">
        <v>485</v>
      </c>
      <c r="B5" s="6"/>
      <c r="C5" s="6"/>
      <c r="D5" s="6"/>
      <c r="E5" s="6"/>
      <c r="F5" s="6"/>
    </row>
    <row r="6" spans="1:6" x14ac:dyDescent="0.3">
      <c r="A6" s="7" t="s">
        <v>486</v>
      </c>
      <c r="B6" s="7" t="s">
        <v>487</v>
      </c>
      <c r="C6" s="7" t="s">
        <v>488</v>
      </c>
      <c r="D6" s="7" t="s">
        <v>489</v>
      </c>
      <c r="E6" s="7" t="s">
        <v>490</v>
      </c>
      <c r="F6" s="7" t="s">
        <v>491</v>
      </c>
    </row>
    <row r="7" spans="1:6" x14ac:dyDescent="0.3">
      <c r="A7" s="46" t="s">
        <v>492</v>
      </c>
      <c r="B7" s="47">
        <f>'EU ETS'!$B$16</f>
        <v>7408.9691399999992</v>
      </c>
      <c r="C7" s="48">
        <v>7409</v>
      </c>
      <c r="D7" s="49">
        <f t="shared" ref="D7:D47" si="0">B7-C7</f>
        <v>-3.0860000000757282E-2</v>
      </c>
      <c r="E7" s="48">
        <v>0.1</v>
      </c>
      <c r="F7" s="50" t="str">
        <f t="shared" ref="F7:F47" si="1">IF(ABS(D7)&lt;=E7+0.5*10^-6*ABS(C7),"PASS","FAIL")</f>
        <v>PASS</v>
      </c>
    </row>
    <row r="8" spans="1:6" x14ac:dyDescent="0.3">
      <c r="A8" s="46" t="s">
        <v>493</v>
      </c>
      <c r="B8" s="47">
        <f>'EU ETS'!$B$20</f>
        <v>5186.2783980000004</v>
      </c>
      <c r="C8" s="48">
        <v>5186.3</v>
      </c>
      <c r="D8" s="49">
        <f t="shared" si="0"/>
        <v>-2.1601999999802501E-2</v>
      </c>
      <c r="E8" s="48">
        <v>0.1</v>
      </c>
      <c r="F8" s="50" t="str">
        <f t="shared" si="1"/>
        <v>PASS</v>
      </c>
    </row>
    <row r="9" spans="1:6" x14ac:dyDescent="0.3">
      <c r="A9" s="46" t="s">
        <v>494</v>
      </c>
      <c r="B9" s="47">
        <f>'EU ETS'!$B$21</f>
        <v>440833.66383000003</v>
      </c>
      <c r="C9" s="48">
        <v>440834</v>
      </c>
      <c r="D9" s="49">
        <f t="shared" si="0"/>
        <v>-0.33616999996593222</v>
      </c>
      <c r="E9" s="48">
        <v>1</v>
      </c>
      <c r="F9" s="50" t="str">
        <f t="shared" si="1"/>
        <v>PASS</v>
      </c>
    </row>
    <row r="10" spans="1:6" x14ac:dyDescent="0.3">
      <c r="A10" s="46" t="s">
        <v>495</v>
      </c>
      <c r="B10" s="47">
        <f>'EU ETS'!$B$31</f>
        <v>9489.3000000000011</v>
      </c>
      <c r="C10" s="48">
        <v>9489.2999999999993</v>
      </c>
      <c r="D10" s="49">
        <f t="shared" si="0"/>
        <v>0</v>
      </c>
      <c r="E10" s="48">
        <v>0.1</v>
      </c>
      <c r="F10" s="50" t="str">
        <f t="shared" si="1"/>
        <v>PASS</v>
      </c>
    </row>
    <row r="11" spans="1:6" x14ac:dyDescent="0.3">
      <c r="A11" s="46" t="s">
        <v>496</v>
      </c>
      <c r="B11" s="47">
        <f>'EU ETS'!$B$34</f>
        <v>806590.50000000012</v>
      </c>
      <c r="C11" s="48">
        <v>806590</v>
      </c>
      <c r="D11" s="49">
        <f t="shared" si="0"/>
        <v>0.50000000011641532</v>
      </c>
      <c r="E11" s="48">
        <v>1</v>
      </c>
      <c r="F11" s="50" t="str">
        <f t="shared" si="1"/>
        <v>PASS</v>
      </c>
    </row>
    <row r="12" spans="1:6" x14ac:dyDescent="0.3">
      <c r="A12" s="46" t="s">
        <v>497</v>
      </c>
      <c r="B12" s="47">
        <f>FuelEU!$B$16</f>
        <v>121500000</v>
      </c>
      <c r="C12" s="48">
        <v>121500000</v>
      </c>
      <c r="D12" s="49">
        <f t="shared" si="0"/>
        <v>0</v>
      </c>
      <c r="E12" s="48">
        <v>1</v>
      </c>
      <c r="F12" s="50" t="str">
        <f t="shared" si="1"/>
        <v>PASS</v>
      </c>
    </row>
    <row r="13" spans="1:6" x14ac:dyDescent="0.3">
      <c r="A13" s="46" t="s">
        <v>498</v>
      </c>
      <c r="B13" s="47">
        <f>FuelEU!$B$22</f>
        <v>-291.98879999999974</v>
      </c>
      <c r="C13" s="48">
        <v>-292</v>
      </c>
      <c r="D13" s="49">
        <f t="shared" si="0"/>
        <v>1.1200000000258115E-2</v>
      </c>
      <c r="E13" s="48">
        <v>0.1</v>
      </c>
      <c r="F13" s="50" t="str">
        <f t="shared" si="1"/>
        <v>PASS</v>
      </c>
    </row>
    <row r="14" spans="1:6" x14ac:dyDescent="0.3">
      <c r="A14" s="46" t="s">
        <v>499</v>
      </c>
      <c r="B14" s="47">
        <f>FuelEU!$B$25</f>
        <v>186309.4322767948</v>
      </c>
      <c r="C14" s="48">
        <v>186309</v>
      </c>
      <c r="D14" s="49">
        <f t="shared" si="0"/>
        <v>0.43227679480332881</v>
      </c>
      <c r="E14" s="48">
        <v>1</v>
      </c>
      <c r="F14" s="50" t="str">
        <f t="shared" si="1"/>
        <v>PASS</v>
      </c>
    </row>
    <row r="15" spans="1:6" x14ac:dyDescent="0.3">
      <c r="A15" s="46" t="s">
        <v>500</v>
      </c>
      <c r="B15" s="47">
        <f>FuelEU!$B$26</f>
        <v>32118.767999999971</v>
      </c>
      <c r="C15" s="48">
        <v>32119</v>
      </c>
      <c r="D15" s="49">
        <f t="shared" si="0"/>
        <v>-0.23200000002907473</v>
      </c>
      <c r="E15" s="48">
        <v>1</v>
      </c>
      <c r="F15" s="50" t="str">
        <f t="shared" si="1"/>
        <v>PASS</v>
      </c>
    </row>
    <row r="16" spans="1:6" x14ac:dyDescent="0.3">
      <c r="A16" s="46" t="s">
        <v>501</v>
      </c>
      <c r="B16" s="47">
        <f>FuelEU!$B$23</f>
        <v>638.07047488395096</v>
      </c>
      <c r="C16" s="48">
        <v>638.07000000000005</v>
      </c>
      <c r="D16" s="49">
        <f t="shared" si="0"/>
        <v>4.7488395091477287E-4</v>
      </c>
      <c r="E16" s="48">
        <v>0.01</v>
      </c>
      <c r="F16" s="50" t="str">
        <f t="shared" si="1"/>
        <v>PASS</v>
      </c>
    </row>
    <row r="17" spans="1:6" x14ac:dyDescent="0.3">
      <c r="A17" s="46" t="s">
        <v>502</v>
      </c>
      <c r="B17" s="47">
        <f>FuelEU!$B$40</f>
        <v>96621513.45779112</v>
      </c>
      <c r="C17" s="48">
        <v>96621513</v>
      </c>
      <c r="D17" s="49">
        <f t="shared" si="0"/>
        <v>0.45779111981391907</v>
      </c>
      <c r="E17" s="48">
        <v>1</v>
      </c>
      <c r="F17" s="50" t="str">
        <f t="shared" si="1"/>
        <v>PASS</v>
      </c>
    </row>
    <row r="18" spans="1:6" x14ac:dyDescent="0.3">
      <c r="A18" s="46" t="s">
        <v>503</v>
      </c>
      <c r="B18" s="47">
        <f>FuelEU!$B$46</f>
        <v>-221.38290766024124</v>
      </c>
      <c r="C18" s="48">
        <v>-221.4</v>
      </c>
      <c r="D18" s="49">
        <f t="shared" si="0"/>
        <v>1.7092339758761455E-2</v>
      </c>
      <c r="E18" s="48">
        <v>0.1</v>
      </c>
      <c r="F18" s="50" t="str">
        <f t="shared" si="1"/>
        <v>PASS</v>
      </c>
    </row>
    <row r="19" spans="1:6" x14ac:dyDescent="0.3">
      <c r="A19" s="46" t="s">
        <v>504</v>
      </c>
      <c r="B19" s="47">
        <f>FuelEU!$B$49</f>
        <v>141430.50227777287</v>
      </c>
      <c r="C19" s="48">
        <v>141431</v>
      </c>
      <c r="D19" s="49">
        <f t="shared" si="0"/>
        <v>-0.49772222712635994</v>
      </c>
      <c r="E19" s="48">
        <v>1</v>
      </c>
      <c r="F19" s="50" t="str">
        <f t="shared" si="1"/>
        <v>PASS</v>
      </c>
    </row>
    <row r="20" spans="1:6" x14ac:dyDescent="0.3">
      <c r="A20" s="46" t="s">
        <v>505</v>
      </c>
      <c r="B20" s="47">
        <f>FuelEU!$B$50</f>
        <v>24352.119842626536</v>
      </c>
      <c r="C20" s="48">
        <v>24352</v>
      </c>
      <c r="D20" s="49">
        <f t="shared" si="0"/>
        <v>0.11984262653641053</v>
      </c>
      <c r="E20" s="48">
        <v>1</v>
      </c>
      <c r="F20" s="50" t="str">
        <f t="shared" si="1"/>
        <v>PASS</v>
      </c>
    </row>
    <row r="21" spans="1:6" x14ac:dyDescent="0.3">
      <c r="A21" s="46" t="s">
        <v>506</v>
      </c>
      <c r="B21" s="47">
        <f>CII!$B$11</f>
        <v>3.7368000000000001</v>
      </c>
      <c r="C21" s="48">
        <v>3.7370000000000001</v>
      </c>
      <c r="D21" s="49">
        <f t="shared" si="0"/>
        <v>-1.9999999999997797E-4</v>
      </c>
      <c r="E21" s="48">
        <v>5.0000000000000001E-4</v>
      </c>
      <c r="F21" s="50" t="str">
        <f t="shared" si="1"/>
        <v>PASS</v>
      </c>
    </row>
    <row r="22" spans="1:6" x14ac:dyDescent="0.3">
      <c r="A22" s="46" t="s">
        <v>507</v>
      </c>
      <c r="B22" s="47">
        <f>CII!$B$14</f>
        <v>5.0450663324961802</v>
      </c>
      <c r="C22" s="48">
        <v>5.0449999999999999</v>
      </c>
      <c r="D22" s="49">
        <f t="shared" si="0"/>
        <v>6.6332496180265821E-5</v>
      </c>
      <c r="E22" s="48">
        <v>5.0000000000000001E-4</v>
      </c>
      <c r="F22" s="50" t="str">
        <f t="shared" si="1"/>
        <v>PASS</v>
      </c>
    </row>
    <row r="23" spans="1:6" x14ac:dyDescent="0.3">
      <c r="A23" s="46" t="s">
        <v>508</v>
      </c>
      <c r="B23" s="47">
        <f>CII!$B$28</f>
        <v>4.573225806451612</v>
      </c>
      <c r="C23" s="48">
        <v>4.5730000000000004</v>
      </c>
      <c r="D23" s="49">
        <f t="shared" si="0"/>
        <v>2.2580645161163204E-4</v>
      </c>
      <c r="E23" s="48">
        <v>5.0000000000000001E-4</v>
      </c>
      <c r="F23" s="50" t="str">
        <f t="shared" si="1"/>
        <v>PASS</v>
      </c>
    </row>
    <row r="24" spans="1:6" x14ac:dyDescent="0.3">
      <c r="A24" s="46" t="s">
        <v>509</v>
      </c>
      <c r="B24" s="47">
        <f>CII!$B$31</f>
        <v>3.5065595209222788</v>
      </c>
      <c r="C24" s="48">
        <v>3.5070000000000001</v>
      </c>
      <c r="D24" s="49">
        <f t="shared" si="0"/>
        <v>-4.4047907772126749E-4</v>
      </c>
      <c r="E24" s="48">
        <v>5.0000000000000001E-4</v>
      </c>
      <c r="F24" s="50" t="str">
        <f t="shared" si="1"/>
        <v>PASS</v>
      </c>
    </row>
    <row r="25" spans="1:6" x14ac:dyDescent="0.3">
      <c r="A25" s="46" t="s">
        <v>510</v>
      </c>
      <c r="B25" s="47">
        <f>'CII G5'!$B$15</f>
        <v>6.2232523956000003</v>
      </c>
      <c r="C25" s="48">
        <v>6.2229999999999999</v>
      </c>
      <c r="D25" s="49">
        <f t="shared" si="0"/>
        <v>2.5239560000045458E-4</v>
      </c>
      <c r="E25" s="48">
        <v>5.0000000000000001E-4</v>
      </c>
      <c r="F25" s="50" t="str">
        <f t="shared" si="1"/>
        <v>PASS</v>
      </c>
    </row>
    <row r="26" spans="1:6" x14ac:dyDescent="0.3">
      <c r="A26" s="46" t="s">
        <v>511</v>
      </c>
      <c r="B26" s="47">
        <f>'CII G5'!$B$17</f>
        <v>8.8947826924180262</v>
      </c>
      <c r="C26" s="48">
        <v>8.8949999999999996</v>
      </c>
      <c r="D26" s="49">
        <f t="shared" si="0"/>
        <v>-2.1730758197335831E-4</v>
      </c>
      <c r="E26" s="48">
        <v>5.0000000000000001E-4</v>
      </c>
      <c r="F26" s="50" t="str">
        <f t="shared" si="1"/>
        <v>PASS</v>
      </c>
    </row>
    <row r="27" spans="1:6" x14ac:dyDescent="0.3">
      <c r="A27" s="46" t="s">
        <v>512</v>
      </c>
      <c r="B27" s="47">
        <f>EEXI!$B$9</f>
        <v>3.2824935229771803</v>
      </c>
      <c r="C27" s="48">
        <v>3.28</v>
      </c>
      <c r="D27" s="49">
        <f t="shared" si="0"/>
        <v>2.493522977180529E-3</v>
      </c>
      <c r="E27" s="48">
        <v>5.0000000000000001E-3</v>
      </c>
      <c r="F27" s="50" t="str">
        <f t="shared" si="1"/>
        <v>PASS</v>
      </c>
    </row>
    <row r="28" spans="1:6" x14ac:dyDescent="0.3">
      <c r="A28" s="46" t="s">
        <v>513</v>
      </c>
      <c r="B28" s="47">
        <f>'Own data bill'!$B$17</f>
        <v>8840.8644999999997</v>
      </c>
      <c r="C28" s="48">
        <v>8840.9</v>
      </c>
      <c r="D28" s="49">
        <f t="shared" si="0"/>
        <v>-3.5499999999956344E-2</v>
      </c>
      <c r="E28" s="48">
        <v>0.1</v>
      </c>
      <c r="F28" s="50" t="str">
        <f t="shared" si="1"/>
        <v>PASS</v>
      </c>
    </row>
    <row r="29" spans="1:6" x14ac:dyDescent="0.3">
      <c r="A29" s="46" t="s">
        <v>514</v>
      </c>
      <c r="B29" s="47">
        <f>'Own data bill'!$B$18</f>
        <v>751473.48249999993</v>
      </c>
      <c r="C29" s="48">
        <v>751473</v>
      </c>
      <c r="D29" s="49">
        <f t="shared" si="0"/>
        <v>0.48249999992549419</v>
      </c>
      <c r="E29" s="48">
        <v>1</v>
      </c>
      <c r="F29" s="50" t="str">
        <f t="shared" si="1"/>
        <v>PASS</v>
      </c>
    </row>
    <row r="30" spans="1:6" x14ac:dyDescent="0.3">
      <c r="A30" s="46" t="s">
        <v>515</v>
      </c>
      <c r="B30" s="47">
        <f>'Own data bill'!$B$21</f>
        <v>27202.66</v>
      </c>
      <c r="C30" s="48">
        <v>27203</v>
      </c>
      <c r="D30" s="49">
        <f t="shared" si="0"/>
        <v>-0.34000000000014552</v>
      </c>
      <c r="E30" s="48">
        <v>1</v>
      </c>
      <c r="F30" s="50" t="str">
        <f t="shared" si="1"/>
        <v>PASS</v>
      </c>
    </row>
    <row r="31" spans="1:6" x14ac:dyDescent="0.3">
      <c r="A31" s="46" t="s">
        <v>516</v>
      </c>
      <c r="B31" s="47">
        <f>'Own data bill'!$B$24</f>
        <v>-272.03623199999981</v>
      </c>
      <c r="C31" s="48">
        <v>-272</v>
      </c>
      <c r="D31" s="49">
        <f t="shared" si="0"/>
        <v>-3.6231999999813524E-2</v>
      </c>
      <c r="E31" s="48">
        <v>0.1</v>
      </c>
      <c r="F31" s="50" t="str">
        <f t="shared" si="1"/>
        <v>PASS</v>
      </c>
    </row>
    <row r="32" spans="1:6" x14ac:dyDescent="0.3">
      <c r="A32" s="46" t="s">
        <v>517</v>
      </c>
      <c r="B32" s="47">
        <f>'Own data bill'!$B$25</f>
        <v>173578.28773788054</v>
      </c>
      <c r="C32" s="48">
        <v>173578</v>
      </c>
      <c r="D32" s="49">
        <f t="shared" si="0"/>
        <v>0.28773788054240867</v>
      </c>
      <c r="E32" s="48">
        <v>1</v>
      </c>
      <c r="F32" s="50" t="str">
        <f t="shared" si="1"/>
        <v>PASS</v>
      </c>
    </row>
    <row r="33" spans="1:6" x14ac:dyDescent="0.3">
      <c r="A33" s="46" t="s">
        <v>518</v>
      </c>
      <c r="B33" s="47">
        <f>'Own data bill'!$B$26</f>
        <v>29923.98551999998</v>
      </c>
      <c r="C33" s="48">
        <v>29924</v>
      </c>
      <c r="D33" s="49">
        <f t="shared" si="0"/>
        <v>-1.4480000019830186E-2</v>
      </c>
      <c r="E33" s="48">
        <v>1</v>
      </c>
      <c r="F33" s="50" t="str">
        <f t="shared" si="1"/>
        <v>PASS</v>
      </c>
    </row>
    <row r="34" spans="1:6" x14ac:dyDescent="0.3">
      <c r="A34" s="46" t="s">
        <v>519</v>
      </c>
      <c r="B34" s="47">
        <f>'Charter split'!$B$11</f>
        <v>184</v>
      </c>
      <c r="C34" s="48">
        <v>184</v>
      </c>
      <c r="D34" s="49">
        <f t="shared" si="0"/>
        <v>0</v>
      </c>
      <c r="E34" s="48">
        <v>0</v>
      </c>
      <c r="F34" s="50" t="str">
        <f t="shared" si="1"/>
        <v>PASS</v>
      </c>
    </row>
    <row r="35" spans="1:6" x14ac:dyDescent="0.3">
      <c r="A35" s="46" t="s">
        <v>520</v>
      </c>
      <c r="B35" s="47">
        <f>'Charter split'!$B$14</f>
        <v>50411</v>
      </c>
      <c r="C35" s="48">
        <v>50411</v>
      </c>
      <c r="D35" s="49">
        <f t="shared" si="0"/>
        <v>0</v>
      </c>
      <c r="E35" s="48">
        <v>0</v>
      </c>
      <c r="F35" s="50" t="str">
        <f t="shared" si="1"/>
        <v>PASS</v>
      </c>
    </row>
    <row r="36" spans="1:6" x14ac:dyDescent="0.3">
      <c r="A36" s="46" t="s">
        <v>521</v>
      </c>
      <c r="B36" s="47">
        <f>'What-if'!$B$12</f>
        <v>0.81</v>
      </c>
      <c r="C36" s="48">
        <v>0.81</v>
      </c>
      <c r="D36" s="49">
        <f t="shared" si="0"/>
        <v>0</v>
      </c>
      <c r="E36" s="48">
        <v>1E-4</v>
      </c>
      <c r="F36" s="50" t="str">
        <f t="shared" si="1"/>
        <v>PASS</v>
      </c>
    </row>
    <row r="37" spans="1:6" x14ac:dyDescent="0.3">
      <c r="A37" s="46" t="s">
        <v>522</v>
      </c>
      <c r="B37" s="47">
        <f>'IMO NZF'!$B$14</f>
        <v>247648.58999999991</v>
      </c>
      <c r="C37" s="48">
        <v>247649</v>
      </c>
      <c r="D37" s="49">
        <f t="shared" si="0"/>
        <v>-0.41000000009080395</v>
      </c>
      <c r="E37" s="48">
        <v>5</v>
      </c>
      <c r="F37" s="50" t="str">
        <f t="shared" si="1"/>
        <v>PASS</v>
      </c>
    </row>
    <row r="38" spans="1:6" x14ac:dyDescent="0.3">
      <c r="A38" s="46" t="s">
        <v>523</v>
      </c>
      <c r="B38" s="47">
        <f>'Ship check'!$B$15</f>
        <v>440833.66382999998</v>
      </c>
      <c r="C38" s="48">
        <v>440834</v>
      </c>
      <c r="D38" s="49">
        <f t="shared" si="0"/>
        <v>-0.33617000002413988</v>
      </c>
      <c r="E38" s="48">
        <v>1</v>
      </c>
      <c r="F38" s="50" t="str">
        <f t="shared" si="1"/>
        <v>PASS</v>
      </c>
    </row>
    <row r="39" spans="1:6" x14ac:dyDescent="0.3">
      <c r="A39" s="46" t="s">
        <v>524</v>
      </c>
      <c r="B39" s="47">
        <f>'Ship check'!$B$23</f>
        <v>141430.50227777203</v>
      </c>
      <c r="C39" s="48">
        <v>141431</v>
      </c>
      <c r="D39" s="49">
        <f t="shared" si="0"/>
        <v>-0.49772222797037102</v>
      </c>
      <c r="E39" s="48">
        <v>1</v>
      </c>
      <c r="F39" s="50" t="str">
        <f t="shared" si="1"/>
        <v>PASS</v>
      </c>
    </row>
    <row r="40" spans="1:6" x14ac:dyDescent="0.3">
      <c r="A40" s="46" t="s">
        <v>525</v>
      </c>
      <c r="B40" s="47">
        <f>FuelEU!$B$42</f>
        <v>91.628038252617017</v>
      </c>
      <c r="C40" s="48">
        <v>91.63</v>
      </c>
      <c r="D40" s="49">
        <f t="shared" si="0"/>
        <v>-1.9617473829782739E-3</v>
      </c>
      <c r="E40" s="48">
        <v>5.0000000000000001E-3</v>
      </c>
      <c r="F40" s="50" t="str">
        <f t="shared" si="1"/>
        <v>PASS</v>
      </c>
    </row>
    <row r="41" spans="1:6" x14ac:dyDescent="0.3">
      <c r="A41" s="46" t="s">
        <v>526</v>
      </c>
      <c r="B41" s="47">
        <f>'COOL MAGNUS'!$B$26</f>
        <v>374.92727499999995</v>
      </c>
      <c r="C41" s="48">
        <v>374.9</v>
      </c>
      <c r="D41" s="49">
        <f t="shared" si="0"/>
        <v>2.7274999999974625E-2</v>
      </c>
      <c r="E41" s="48">
        <v>0.1</v>
      </c>
      <c r="F41" s="50" t="str">
        <f t="shared" si="1"/>
        <v>PASS</v>
      </c>
    </row>
    <row r="42" spans="1:6" x14ac:dyDescent="0.3">
      <c r="A42" s="46" t="s">
        <v>527</v>
      </c>
      <c r="B42" s="47">
        <f>'COOL MAGNUS'!$B$31</f>
        <v>4993572.8631941667</v>
      </c>
      <c r="C42" s="48">
        <v>4993573</v>
      </c>
      <c r="D42" s="49">
        <f t="shared" si="0"/>
        <v>-0.13680583331733942</v>
      </c>
      <c r="E42" s="48">
        <v>1</v>
      </c>
      <c r="F42" s="50" t="str">
        <f t="shared" si="1"/>
        <v>PASS</v>
      </c>
    </row>
    <row r="43" spans="1:6" x14ac:dyDescent="0.3">
      <c r="A43" s="46" t="s">
        <v>528</v>
      </c>
      <c r="B43" s="47">
        <f>'COOL MAGNUS'!$B$32</f>
        <v>90.77</v>
      </c>
      <c r="C43" s="48">
        <v>90.77</v>
      </c>
      <c r="D43" s="49">
        <f t="shared" si="0"/>
        <v>0</v>
      </c>
      <c r="E43" s="48">
        <v>5.0000000000000001E-3</v>
      </c>
      <c r="F43" s="50" t="str">
        <f t="shared" si="1"/>
        <v>PASS</v>
      </c>
    </row>
    <row r="44" spans="1:6" x14ac:dyDescent="0.3">
      <c r="A44" s="46" t="s">
        <v>529</v>
      </c>
      <c r="B44" s="47">
        <f>'COOL MAGNUS'!$B$38</f>
        <v>-7.1567886275298767</v>
      </c>
      <c r="C44" s="48">
        <v>-7.2</v>
      </c>
      <c r="D44" s="49">
        <f t="shared" si="0"/>
        <v>4.3211372470123521E-2</v>
      </c>
      <c r="E44" s="48">
        <v>0.1</v>
      </c>
      <c r="F44" s="50" t="str">
        <f t="shared" si="1"/>
        <v>PASS</v>
      </c>
    </row>
    <row r="45" spans="1:6" x14ac:dyDescent="0.3">
      <c r="A45" s="46" t="s">
        <v>530</v>
      </c>
      <c r="B45" s="47">
        <f>'COOL MAGNUS'!$B$40</f>
        <v>4615.3351155753362</v>
      </c>
      <c r="C45" s="48">
        <v>4615</v>
      </c>
      <c r="D45" s="49">
        <f t="shared" si="0"/>
        <v>0.33511557533620362</v>
      </c>
      <c r="E45" s="48">
        <v>1</v>
      </c>
      <c r="F45" s="50" t="str">
        <f t="shared" si="1"/>
        <v>PASS</v>
      </c>
    </row>
    <row r="46" spans="1:6" x14ac:dyDescent="0.3">
      <c r="A46" s="46" t="s">
        <v>531</v>
      </c>
      <c r="B46" s="47">
        <f>'COOL MAGNUS'!$B$41</f>
        <v>787.24674902828644</v>
      </c>
      <c r="C46" s="48">
        <v>787</v>
      </c>
      <c r="D46" s="49">
        <f t="shared" si="0"/>
        <v>0.24674902828644463</v>
      </c>
      <c r="E46" s="48">
        <v>1</v>
      </c>
      <c r="F46" s="50" t="str">
        <f t="shared" si="1"/>
        <v>PASS</v>
      </c>
    </row>
    <row r="47" spans="1:6" x14ac:dyDescent="0.3">
      <c r="A47" s="46" t="s">
        <v>532</v>
      </c>
      <c r="B47" s="47">
        <f>'COOL MAGNUS'!$B$47</f>
        <v>22308.173159999998</v>
      </c>
      <c r="C47" s="48">
        <v>22308</v>
      </c>
      <c r="D47" s="49">
        <f t="shared" si="0"/>
        <v>0.17315999999846099</v>
      </c>
      <c r="E47" s="48">
        <v>1</v>
      </c>
      <c r="F47" s="50" t="str">
        <f t="shared" si="1"/>
        <v>PASS</v>
      </c>
    </row>
    <row r="48" spans="1:6" x14ac:dyDescent="0.3">
      <c r="A48" s="46" t="s">
        <v>533</v>
      </c>
      <c r="B48" s="19" t="str">
        <f>CII!$B$20</f>
        <v>A</v>
      </c>
      <c r="C48" s="51" t="s">
        <v>534</v>
      </c>
      <c r="D48" s="52"/>
      <c r="E48" s="52"/>
      <c r="F48" s="50" t="str">
        <f>IF(B48=C48,"PASS","FAIL")</f>
        <v>PASS</v>
      </c>
    </row>
    <row r="49" spans="1:6" x14ac:dyDescent="0.3">
      <c r="A49" s="46" t="s">
        <v>535</v>
      </c>
      <c r="B49" s="19" t="str">
        <f>CII!$B$37</f>
        <v>E</v>
      </c>
      <c r="C49" s="51" t="s">
        <v>536</v>
      </c>
      <c r="D49" s="52"/>
      <c r="E49" s="52"/>
      <c r="F49" s="50" t="str">
        <f>IF(B49=C49,"PASS","FAIL")</f>
        <v>PASS</v>
      </c>
    </row>
    <row r="50" spans="1:6" x14ac:dyDescent="0.3">
      <c r="A50" s="46" t="s">
        <v>537</v>
      </c>
      <c r="B50" s="19" t="str">
        <f>EEXI!$B$12</f>
        <v>COMPLIANT</v>
      </c>
      <c r="C50" s="51" t="s">
        <v>538</v>
      </c>
      <c r="D50" s="52"/>
      <c r="E50" s="52"/>
      <c r="F50" s="50" t="str">
        <f>IF(B50=C50,"PASS","FAIL")</f>
        <v>PASS</v>
      </c>
    </row>
    <row r="52" spans="1:6" x14ac:dyDescent="0.3">
      <c r="A52" s="53" t="s">
        <v>539</v>
      </c>
      <c r="B52" s="54" t="str">
        <f>COUNTIF(F7:F50,"PASS")&amp;" of "&amp;COUNTA(F7:F50)</f>
        <v>44 of 44</v>
      </c>
    </row>
  </sheetData>
  <mergeCells count="1">
    <mergeCell ref="A2:F2"/>
  </mergeCells>
  <conditionalFormatting sqref="F7:F50">
    <cfRule type="cellIs" dxfId="1" priority="1" operator="equal">
      <formula>"PASS"</formula>
    </cfRule>
    <cfRule type="cellIs" dxfId="0" priority="2" operator="equal">
      <formula>"FAIL"</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 me</vt:lpstr>
      <vt:lpstr>Assumptions</vt:lpstr>
      <vt:lpstr>Rule tables</vt:lpstr>
      <vt:lpstr>EU ETS</vt:lpstr>
      <vt:lpstr>FuelEU</vt:lpstr>
      <vt:lpstr>COOL MAGNUS</vt:lpstr>
      <vt:lpstr>CII</vt:lpstr>
      <vt:lpstr>CII G5</vt:lpstr>
      <vt:lpstr>EEXI</vt:lpstr>
      <vt:lpstr>Own data bill</vt:lpstr>
      <vt:lpstr>Charter split</vt:lpstr>
      <vt:lpstr>What-if</vt:lpstr>
      <vt:lpstr>IMO NZF</vt:lpstr>
      <vt:lpstr>Ship check</vt:lpstr>
      <vt:lpstr>Cross-check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Prayag</cp:lastModifiedBy>
  <dcterms:created xsi:type="dcterms:W3CDTF">2026-10-17T15:57:48Z</dcterms:created>
  <dcterms:modified xsi:type="dcterms:W3CDTF">2026-10-17T15:58:03Z</dcterms:modified>
</cp:coreProperties>
</file>